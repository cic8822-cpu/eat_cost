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최익창\Downloads\함수연\"/>
    </mc:Choice>
  </mc:AlternateContent>
  <xr:revisionPtr revIDLastSave="0" documentId="13_ncr:1_{DFF64BC0-29E9-4389-818C-B7B04582F05A}" xr6:coauthVersionLast="47" xr6:coauthVersionMax="47" xr10:uidLastSave="{00000000-0000-0000-0000-000000000000}"/>
  <bookViews>
    <workbookView xWindow="-108" yWindow="-108" windowWidth="23256" windowHeight="12576" tabRatio="769" activeTab="1" xr2:uid="{00000000-000D-0000-FFFF-FFFF00000000}"/>
  </bookViews>
  <sheets>
    <sheet name="데이터" sheetId="13" r:id="rId1"/>
    <sheet name="학교급식" sheetId="12" r:id="rId2"/>
    <sheet name="개인별내역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10" l="1"/>
  <c r="F18" i="10"/>
  <c r="D18" i="10"/>
  <c r="F17" i="10"/>
  <c r="E17" i="10"/>
  <c r="D17" i="10"/>
  <c r="F16" i="10"/>
  <c r="E16" i="10"/>
  <c r="D16" i="10"/>
  <c r="F15" i="10"/>
  <c r="E15" i="10"/>
  <c r="D15" i="10"/>
  <c r="F14" i="10"/>
  <c r="E14" i="10"/>
  <c r="D14" i="10"/>
  <c r="F13" i="10"/>
  <c r="E13" i="10"/>
  <c r="D13" i="10"/>
  <c r="F12" i="10"/>
  <c r="E12" i="10"/>
  <c r="D12" i="10"/>
  <c r="F11" i="10"/>
  <c r="E11" i="10"/>
  <c r="D11" i="10"/>
  <c r="F10" i="10"/>
  <c r="E10" i="10"/>
  <c r="D10" i="10"/>
  <c r="F9" i="10"/>
  <c r="E9" i="10"/>
  <c r="D9" i="10"/>
  <c r="F8" i="10"/>
  <c r="E8" i="10"/>
  <c r="D8" i="10"/>
  <c r="F7" i="10"/>
  <c r="E7" i="10"/>
  <c r="D7" i="10"/>
  <c r="F6" i="10"/>
  <c r="E6" i="10"/>
  <c r="D6" i="10"/>
  <c r="F5" i="10"/>
  <c r="E5" i="10"/>
  <c r="D5" i="10"/>
  <c r="F4" i="10"/>
  <c r="E4" i="10"/>
  <c r="D4" i="10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D16" i="12"/>
  <c r="C16" i="12"/>
  <c r="B16" i="12"/>
  <c r="A16" i="12"/>
  <c r="D15" i="12"/>
  <c r="C15" i="12"/>
  <c r="B15" i="12"/>
  <c r="A15" i="12"/>
  <c r="D14" i="12"/>
  <c r="C14" i="12"/>
  <c r="B14" i="12"/>
  <c r="A14" i="12"/>
  <c r="D13" i="12"/>
  <c r="C13" i="12"/>
  <c r="B13" i="12"/>
  <c r="A13" i="12"/>
  <c r="D12" i="12"/>
  <c r="C12" i="12"/>
  <c r="B12" i="12"/>
  <c r="A12" i="12"/>
  <c r="D11" i="12"/>
  <c r="C11" i="12"/>
  <c r="B11" i="12"/>
  <c r="A11" i="12"/>
  <c r="D10" i="12"/>
  <c r="C10" i="12"/>
  <c r="B10" i="12"/>
  <c r="A10" i="12"/>
  <c r="D9" i="12"/>
  <c r="C9" i="12"/>
  <c r="B9" i="12"/>
  <c r="A9" i="12"/>
  <c r="D8" i="12"/>
  <c r="C8" i="12"/>
  <c r="B8" i="12"/>
  <c r="A8" i="12"/>
  <c r="D7" i="12"/>
  <c r="C7" i="12"/>
  <c r="B7" i="12"/>
  <c r="A7" i="12"/>
  <c r="D6" i="12"/>
  <c r="C6" i="12"/>
  <c r="B6" i="12"/>
  <c r="A6" i="12"/>
  <c r="D5" i="12"/>
  <c r="C5" i="12"/>
  <c r="B5" i="12"/>
  <c r="A5" i="12"/>
  <c r="D4" i="12"/>
  <c r="C4" i="12"/>
  <c r="B4" i="12"/>
  <c r="A4" i="12"/>
  <c r="D3" i="12"/>
  <c r="C3" i="12"/>
  <c r="B3" i="12"/>
  <c r="A3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A2" i="13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L2" i="12"/>
  <c r="AK2" i="12"/>
  <c r="AJ2" i="12"/>
  <c r="AI2" i="12"/>
  <c r="AH2" i="12"/>
  <c r="AG2" i="12"/>
  <c r="AF2" i="12"/>
  <c r="AE2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</calcChain>
</file>

<file path=xl/sharedStrings.xml><?xml version="1.0" encoding="utf-8"?>
<sst xmlns="http://schemas.openxmlformats.org/spreadsheetml/2006/main" count="80" uniqueCount="45">
  <si>
    <t>성명</t>
    <phoneticPr fontId="2" type="noConversion"/>
  </si>
  <si>
    <t>비고</t>
    <phoneticPr fontId="2" type="noConversion"/>
  </si>
  <si>
    <t>교사</t>
    <phoneticPr fontId="2" type="noConversion"/>
  </si>
  <si>
    <t>교직원 계</t>
    <phoneticPr fontId="2" type="noConversion"/>
  </si>
  <si>
    <t>순</t>
    <phoneticPr fontId="2" type="noConversion"/>
  </si>
  <si>
    <t>직</t>
    <phoneticPr fontId="2" type="noConversion"/>
  </si>
  <si>
    <t>급식일수</t>
    <phoneticPr fontId="2" type="noConversion"/>
  </si>
  <si>
    <t>급식단가</t>
    <phoneticPr fontId="2" type="noConversion"/>
  </si>
  <si>
    <t>징수금액</t>
    <phoneticPr fontId="2" type="noConversion"/>
  </si>
  <si>
    <t>교장</t>
    <phoneticPr fontId="2" type="noConversion"/>
  </si>
  <si>
    <t>교사</t>
    <phoneticPr fontId="2" type="noConversion"/>
  </si>
  <si>
    <t>시설관리원</t>
    <phoneticPr fontId="6" type="noConversion"/>
  </si>
  <si>
    <t>양치욱</t>
    <phoneticPr fontId="6" type="noConversion"/>
  </si>
  <si>
    <t>임효숙</t>
    <phoneticPr fontId="2" type="noConversion"/>
  </si>
  <si>
    <t>교사</t>
    <phoneticPr fontId="6" type="noConversion"/>
  </si>
  <si>
    <t>주무관</t>
    <phoneticPr fontId="6" type="noConversion"/>
  </si>
  <si>
    <t>한혜진</t>
    <phoneticPr fontId="6" type="noConversion"/>
  </si>
  <si>
    <t>양승우</t>
    <phoneticPr fontId="6" type="noConversion"/>
  </si>
  <si>
    <t>교무실무사</t>
    <phoneticPr fontId="6" type="noConversion"/>
  </si>
  <si>
    <t>황기찬</t>
    <phoneticPr fontId="6" type="noConversion"/>
  </si>
  <si>
    <t>순회교사</t>
    <phoneticPr fontId="6" type="noConversion"/>
  </si>
  <si>
    <t>원어민교사</t>
    <phoneticPr fontId="6" type="noConversion"/>
  </si>
  <si>
    <t>Yondela Ngquseka</t>
    <phoneticPr fontId="6" type="noConversion"/>
  </si>
  <si>
    <t>천정용</t>
    <phoneticPr fontId="6" type="noConversion"/>
  </si>
  <si>
    <t>김회명</t>
    <phoneticPr fontId="6" type="noConversion"/>
  </si>
  <si>
    <t>윤호영</t>
    <phoneticPr fontId="6" type="noConversion"/>
  </si>
  <si>
    <t>임서영</t>
    <phoneticPr fontId="6" type="noConversion"/>
  </si>
  <si>
    <t>김현옥</t>
    <phoneticPr fontId="6" type="noConversion"/>
  </si>
  <si>
    <t>손경숙</t>
    <phoneticPr fontId="6" type="noConversion"/>
  </si>
  <si>
    <t>박성자</t>
    <phoneticPr fontId="6" type="noConversion"/>
  </si>
  <si>
    <t>행정실장</t>
    <phoneticPr fontId="6" type="noConversion"/>
  </si>
  <si>
    <t>함수연</t>
    <phoneticPr fontId="6" type="noConversion"/>
  </si>
  <si>
    <t>급</t>
    <phoneticPr fontId="6" type="noConversion"/>
  </si>
  <si>
    <t>년도</t>
    <phoneticPr fontId="6" type="noConversion"/>
  </si>
  <si>
    <t>월</t>
    <phoneticPr fontId="6" type="noConversion"/>
  </si>
  <si>
    <t>직원명</t>
    <phoneticPr fontId="6" type="noConversion"/>
  </si>
  <si>
    <t>총일수</t>
    <phoneticPr fontId="6" type="noConversion"/>
  </si>
  <si>
    <t>급식비</t>
    <phoneticPr fontId="6" type="noConversion"/>
  </si>
  <si>
    <t>급식단가</t>
    <phoneticPr fontId="6" type="noConversion"/>
  </si>
  <si>
    <t>순</t>
    <phoneticPr fontId="6" type="noConversion"/>
  </si>
  <si>
    <t>직급</t>
    <phoneticPr fontId="6" type="noConversion"/>
  </si>
  <si>
    <t>성명</t>
    <phoneticPr fontId="6" type="noConversion"/>
  </si>
  <si>
    <t xml:space="preserve">이메일 </t>
    <phoneticPr fontId="6" type="noConversion"/>
  </si>
  <si>
    <t>이메일</t>
    <phoneticPr fontId="6" type="noConversion"/>
  </si>
  <si>
    <t>cic8822@jbedu.kr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</si>
</sst>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4"/>
      <color indexed="8"/>
      <name val="맑은 고딕"/>
      <family val="3"/>
      <charset val="129"/>
    </font>
    <font>
      <b/>
      <sz val="20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4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shrinkToFit="1"/>
    </xf>
    <xf numFmtId="41" fontId="4" fillId="0" borderId="6" xfId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shrinkToFit="1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7" fillId="3" borderId="1" xfId="1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shrinkToFit="1"/>
    </xf>
    <xf numFmtId="0" fontId="0" fillId="5" borderId="4" xfId="0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9" fillId="0" borderId="1" xfId="4" applyBorder="1" applyAlignment="1">
      <alignment horizontal="center" vertical="center"/>
    </xf>
    <xf numFmtId="41" fontId="0" fillId="0" borderId="1" xfId="3" applyFont="1" applyBorder="1" applyAlignment="1">
      <alignment horizontal="center" vertical="center"/>
    </xf>
    <xf numFmtId="41" fontId="0" fillId="4" borderId="4" xfId="3" applyFont="1" applyFill="1" applyBorder="1" applyAlignment="1">
      <alignment horizontal="center" vertical="center"/>
    </xf>
    <xf numFmtId="41" fontId="0" fillId="2" borderId="1" xfId="3" applyFont="1" applyFill="1" applyBorder="1" applyAlignment="1">
      <alignment horizontal="center" vertical="center"/>
    </xf>
    <xf numFmtId="41" fontId="0" fillId="0" borderId="0" xfId="3" applyFont="1" applyAlignment="1">
      <alignment horizontal="center" vertical="center"/>
    </xf>
  </cellXfs>
  <cellStyles count="5">
    <cellStyle name="쉼표 [0]" xfId="3" builtinId="6"/>
    <cellStyle name="쉼표 [0] 2" xfId="1" xr:uid="{00000000-0005-0000-0000-000000000000}"/>
    <cellStyle name="콤마 [0]_관리항목_업종별 " xfId="2" xr:uid="{00000000-0005-0000-0000-000001000000}"/>
    <cellStyle name="표준" xfId="0" builtinId="0"/>
    <cellStyle name="하이퍼링크" xfId="4" builtinId="8"/>
  </cellStyles>
  <dxfs count="0"/>
  <tableStyles count="0" defaultTableStyle="TableStyleMedium9" defaultPivotStyle="PivotStyleLight16"/>
  <colors>
    <mruColors>
      <color rgb="FF0033CC"/>
      <color rgb="FFFFFF99"/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E17C4B-1667-4E32-BFDF-1BFAA8285C5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a3525ee-2092-4d92-9d6e-fe96522cda7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ic8822@jbedu.k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D35D-DA51-4971-A904-834F0E05DC46}">
  <dimension ref="A1:D16"/>
  <sheetViews>
    <sheetView workbookViewId="0">
      <selection activeCell="D3" sqref="D3"/>
    </sheetView>
  </sheetViews>
  <sheetFormatPr defaultRowHeight="17.399999999999999" x14ac:dyDescent="0.4"/>
  <cols>
    <col min="1" max="1" width="8.796875" style="25"/>
    <col min="2" max="2" width="13.796875" style="25" customWidth="1"/>
    <col min="3" max="3" width="20.296875" style="25" customWidth="1"/>
    <col min="4" max="4" width="20.3984375" style="25" customWidth="1"/>
    <col min="5" max="16384" width="8.796875" style="25"/>
  </cols>
  <sheetData>
    <row r="1" spans="1:4" x14ac:dyDescent="0.4">
      <c r="A1" s="30" t="s">
        <v>39</v>
      </c>
      <c r="B1" s="30" t="s">
        <v>40</v>
      </c>
      <c r="C1" s="30" t="s">
        <v>41</v>
      </c>
      <c r="D1" s="30" t="s">
        <v>42</v>
      </c>
    </row>
    <row r="2" spans="1:4" x14ac:dyDescent="0.4">
      <c r="A2" s="29">
        <f t="shared" ref="A2:A16" si="0">ROW()-1</f>
        <v>1</v>
      </c>
      <c r="B2" s="26" t="s">
        <v>9</v>
      </c>
      <c r="C2" s="27" t="s">
        <v>29</v>
      </c>
      <c r="D2" s="37" t="s">
        <v>44</v>
      </c>
    </row>
    <row r="3" spans="1:4" x14ac:dyDescent="0.4">
      <c r="A3" s="29">
        <f t="shared" si="0"/>
        <v>2</v>
      </c>
      <c r="B3" s="26" t="s">
        <v>14</v>
      </c>
      <c r="C3" s="27" t="s">
        <v>24</v>
      </c>
      <c r="D3" s="29"/>
    </row>
    <row r="4" spans="1:4" x14ac:dyDescent="0.4">
      <c r="A4" s="29">
        <f t="shared" si="0"/>
        <v>3</v>
      </c>
      <c r="B4" s="28" t="s">
        <v>2</v>
      </c>
      <c r="C4" s="27" t="s">
        <v>13</v>
      </c>
      <c r="D4" s="29"/>
    </row>
    <row r="5" spans="1:4" x14ac:dyDescent="0.4">
      <c r="A5" s="29">
        <f t="shared" si="0"/>
        <v>4</v>
      </c>
      <c r="B5" s="26" t="s">
        <v>2</v>
      </c>
      <c r="C5" s="27" t="s">
        <v>27</v>
      </c>
      <c r="D5" s="29"/>
    </row>
    <row r="6" spans="1:4" x14ac:dyDescent="0.4">
      <c r="A6" s="29">
        <f t="shared" si="0"/>
        <v>5</v>
      </c>
      <c r="B6" s="26" t="s">
        <v>14</v>
      </c>
      <c r="C6" s="27" t="s">
        <v>16</v>
      </c>
      <c r="D6" s="29"/>
    </row>
    <row r="7" spans="1:4" x14ac:dyDescent="0.4">
      <c r="A7" s="29">
        <f t="shared" si="0"/>
        <v>6</v>
      </c>
      <c r="B7" s="26" t="s">
        <v>14</v>
      </c>
      <c r="C7" s="27" t="s">
        <v>17</v>
      </c>
      <c r="D7" s="29"/>
    </row>
    <row r="8" spans="1:4" x14ac:dyDescent="0.4">
      <c r="A8" s="29">
        <f t="shared" si="0"/>
        <v>7</v>
      </c>
      <c r="B8" s="26" t="s">
        <v>14</v>
      </c>
      <c r="C8" s="27" t="s">
        <v>19</v>
      </c>
      <c r="D8" s="29"/>
    </row>
    <row r="9" spans="1:4" x14ac:dyDescent="0.4">
      <c r="A9" s="29">
        <f t="shared" si="0"/>
        <v>8</v>
      </c>
      <c r="B9" s="26" t="s">
        <v>30</v>
      </c>
      <c r="C9" s="27" t="s">
        <v>31</v>
      </c>
      <c r="D9" s="29"/>
    </row>
    <row r="10" spans="1:4" x14ac:dyDescent="0.4">
      <c r="A10" s="29">
        <f t="shared" si="0"/>
        <v>9</v>
      </c>
      <c r="B10" s="26" t="s">
        <v>15</v>
      </c>
      <c r="C10" s="27" t="s">
        <v>23</v>
      </c>
      <c r="D10" s="29"/>
    </row>
    <row r="11" spans="1:4" x14ac:dyDescent="0.4">
      <c r="A11" s="29">
        <f t="shared" si="0"/>
        <v>10</v>
      </c>
      <c r="B11" s="26" t="s">
        <v>11</v>
      </c>
      <c r="C11" s="27" t="s">
        <v>12</v>
      </c>
      <c r="D11" s="29"/>
    </row>
    <row r="12" spans="1:4" x14ac:dyDescent="0.4">
      <c r="A12" s="29">
        <f t="shared" si="0"/>
        <v>11</v>
      </c>
      <c r="B12" s="26" t="s">
        <v>18</v>
      </c>
      <c r="C12" s="27" t="s">
        <v>28</v>
      </c>
      <c r="D12" s="29"/>
    </row>
    <row r="13" spans="1:4" x14ac:dyDescent="0.4">
      <c r="A13" s="29">
        <f t="shared" si="0"/>
        <v>12</v>
      </c>
      <c r="B13" s="26" t="s">
        <v>20</v>
      </c>
      <c r="C13" s="27" t="s">
        <v>26</v>
      </c>
      <c r="D13" s="29"/>
    </row>
    <row r="14" spans="1:4" x14ac:dyDescent="0.4">
      <c r="A14" s="29">
        <f t="shared" si="0"/>
        <v>13</v>
      </c>
      <c r="B14" s="26" t="s">
        <v>20</v>
      </c>
      <c r="C14" s="27" t="s">
        <v>25</v>
      </c>
      <c r="D14" s="29"/>
    </row>
    <row r="15" spans="1:4" x14ac:dyDescent="0.4">
      <c r="A15" s="29">
        <f t="shared" si="0"/>
        <v>14</v>
      </c>
      <c r="B15" s="26" t="s">
        <v>21</v>
      </c>
      <c r="C15" s="27" t="s">
        <v>22</v>
      </c>
      <c r="D15" s="29"/>
    </row>
    <row r="16" spans="1:4" x14ac:dyDescent="0.4">
      <c r="A16" s="29">
        <f t="shared" si="0"/>
        <v>15</v>
      </c>
      <c r="B16" s="29"/>
      <c r="C16" s="29"/>
      <c r="D16" s="29"/>
    </row>
  </sheetData>
  <phoneticPr fontId="6" type="noConversion"/>
  <hyperlinks>
    <hyperlink ref="D2" r:id="rId1" xr:uid="{025AFF35-68FE-4E70-8C96-93605B6A6BC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49EE-3650-4921-A6D6-C6CE4A2B7432}">
  <dimension ref="A1:AL16"/>
  <sheetViews>
    <sheetView tabSelected="1" workbookViewId="0">
      <selection activeCell="B20" sqref="B20"/>
    </sheetView>
  </sheetViews>
  <sheetFormatPr defaultRowHeight="17.399999999999999" x14ac:dyDescent="0.4"/>
  <cols>
    <col min="1" max="1" width="8.796875" style="1"/>
    <col min="2" max="2" width="12.296875" style="36" customWidth="1"/>
    <col min="3" max="3" width="18.09765625" style="36" customWidth="1"/>
    <col min="4" max="4" width="15.5" style="36" customWidth="1"/>
    <col min="5" max="5" width="10.09765625" style="1" customWidth="1"/>
    <col min="6" max="6" width="8.796875" style="41"/>
    <col min="7" max="16384" width="8.796875" style="1"/>
  </cols>
  <sheetData>
    <row r="1" spans="1:38" x14ac:dyDescent="0.4">
      <c r="A1" s="23" t="s">
        <v>33</v>
      </c>
      <c r="B1" s="31">
        <v>2026</v>
      </c>
      <c r="C1" s="32" t="s">
        <v>34</v>
      </c>
      <c r="D1" s="31">
        <v>9</v>
      </c>
      <c r="E1" s="23" t="s">
        <v>38</v>
      </c>
      <c r="F1" s="39">
        <v>6500</v>
      </c>
    </row>
    <row r="2" spans="1:38" x14ac:dyDescent="0.4">
      <c r="A2" s="24" t="s">
        <v>39</v>
      </c>
      <c r="B2" s="33" t="s">
        <v>40</v>
      </c>
      <c r="C2" s="33" t="s">
        <v>35</v>
      </c>
      <c r="D2" s="33" t="s">
        <v>43</v>
      </c>
      <c r="E2" s="24" t="s">
        <v>36</v>
      </c>
      <c r="F2" s="40" t="s">
        <v>38</v>
      </c>
      <c r="G2" s="24" t="s">
        <v>37</v>
      </c>
      <c r="H2" s="24">
        <f>IF(COLUMN()-COLUMN($H$2)+1&lt;=DAY(EOMONTH(DATE($B$1,$D$1,1),0)),COLUMN()-COLUMN($H$2)+1,"")</f>
        <v>1</v>
      </c>
      <c r="I2" s="24">
        <f>IF(COLUMN()-COLUMN($H$2)+1&lt;=DAY(EOMONTH(DATE($B$1,$D$1,1),0)),COLUMN()-COLUMN($H$2)+1,"")</f>
        <v>2</v>
      </c>
      <c r="J2" s="24">
        <f>IF(COLUMN()-COLUMN($H$2)+1&lt;=DAY(EOMONTH(DATE($B$1,$D$1,1),0)),COLUMN()-COLUMN($H$2)+1,"")</f>
        <v>3</v>
      </c>
      <c r="K2" s="24">
        <f>IF(COLUMN()-COLUMN($H$2)+1&lt;=DAY(EOMONTH(DATE($B$1,$D$1,1),0)),COLUMN()-COLUMN($H$2)+1,"")</f>
        <v>4</v>
      </c>
      <c r="L2" s="24">
        <f>IF(COLUMN()-COLUMN($H$2)+1&lt;=DAY(EOMONTH(DATE($B$1,$D$1,1),0)),COLUMN()-COLUMN($H$2)+1,"")</f>
        <v>5</v>
      </c>
      <c r="M2" s="24">
        <f>IF(COLUMN()-COLUMN($H$2)+1&lt;=DAY(EOMONTH(DATE($B$1,$D$1,1),0)),COLUMN()-COLUMN($H$2)+1,"")</f>
        <v>6</v>
      </c>
      <c r="N2" s="24">
        <f>IF(COLUMN()-COLUMN($H$2)+1&lt;=DAY(EOMONTH(DATE($B$1,$D$1,1),0)),COLUMN()-COLUMN($H$2)+1,"")</f>
        <v>7</v>
      </c>
      <c r="O2" s="24">
        <f>IF(COLUMN()-COLUMN($H$2)+1&lt;=DAY(EOMONTH(DATE($B$1,$D$1,1),0)),COLUMN()-COLUMN($H$2)+1,"")</f>
        <v>8</v>
      </c>
      <c r="P2" s="24">
        <f>IF(COLUMN()-COLUMN($H$2)+1&lt;=DAY(EOMONTH(DATE($B$1,$D$1,1),0)),COLUMN()-COLUMN($H$2)+1,"")</f>
        <v>9</v>
      </c>
      <c r="Q2" s="24">
        <f>IF(COLUMN()-COLUMN($H$2)+1&lt;=DAY(EOMONTH(DATE($B$1,$D$1,1),0)),COLUMN()-COLUMN($H$2)+1,"")</f>
        <v>10</v>
      </c>
      <c r="R2" s="24">
        <f>IF(COLUMN()-COLUMN($H$2)+1&lt;=DAY(EOMONTH(DATE($B$1,$D$1,1),0)),COLUMN()-COLUMN($H$2)+1,"")</f>
        <v>11</v>
      </c>
      <c r="S2" s="24">
        <f>IF(COLUMN()-COLUMN($H$2)+1&lt;=DAY(EOMONTH(DATE($B$1,$D$1,1),0)),COLUMN()-COLUMN($H$2)+1,"")</f>
        <v>12</v>
      </c>
      <c r="T2" s="24">
        <f>IF(COLUMN()-COLUMN($H$2)+1&lt;=DAY(EOMONTH(DATE($B$1,$D$1,1),0)),COLUMN()-COLUMN($H$2)+1,"")</f>
        <v>13</v>
      </c>
      <c r="U2" s="24">
        <f>IF(COLUMN()-COLUMN($H$2)+1&lt;=DAY(EOMONTH(DATE($B$1,$D$1,1),0)),COLUMN()-COLUMN($H$2)+1,"")</f>
        <v>14</v>
      </c>
      <c r="V2" s="24">
        <f>IF(COLUMN()-COLUMN($H$2)+1&lt;=DAY(EOMONTH(DATE($B$1,$D$1,1),0)),COLUMN()-COLUMN($H$2)+1,"")</f>
        <v>15</v>
      </c>
      <c r="W2" s="24">
        <f>IF(COLUMN()-COLUMN($H$2)+1&lt;=DAY(EOMONTH(DATE($B$1,$D$1,1),0)),COLUMN()-COLUMN($H$2)+1,"")</f>
        <v>16</v>
      </c>
      <c r="X2" s="24">
        <f>IF(COLUMN()-COLUMN($H$2)+1&lt;=DAY(EOMONTH(DATE($B$1,$D$1,1),0)),COLUMN()-COLUMN($H$2)+1,"")</f>
        <v>17</v>
      </c>
      <c r="Y2" s="24">
        <f>IF(COLUMN()-COLUMN($H$2)+1&lt;=DAY(EOMONTH(DATE($B$1,$D$1,1),0)),COLUMN()-COLUMN($H$2)+1,"")</f>
        <v>18</v>
      </c>
      <c r="Z2" s="24">
        <f>IF(COLUMN()-COLUMN($H$2)+1&lt;=DAY(EOMONTH(DATE($B$1,$D$1,1),0)),COLUMN()-COLUMN($H$2)+1,"")</f>
        <v>19</v>
      </c>
      <c r="AA2" s="24">
        <f>IF(COLUMN()-COLUMN($H$2)+1&lt;=DAY(EOMONTH(DATE($B$1,$D$1,1),0)),COLUMN()-COLUMN($H$2)+1,"")</f>
        <v>20</v>
      </c>
      <c r="AB2" s="24">
        <f>IF(COLUMN()-COLUMN($H$2)+1&lt;=DAY(EOMONTH(DATE($B$1,$D$1,1),0)),COLUMN()-COLUMN($H$2)+1,"")</f>
        <v>21</v>
      </c>
      <c r="AC2" s="24">
        <f>IF(COLUMN()-COLUMN($H$2)+1&lt;=DAY(EOMONTH(DATE($B$1,$D$1,1),0)),COLUMN()-COLUMN($H$2)+1,"")</f>
        <v>22</v>
      </c>
      <c r="AD2" s="24">
        <f>IF(COLUMN()-COLUMN($H$2)+1&lt;=DAY(EOMONTH(DATE($B$1,$D$1,1),0)),COLUMN()-COLUMN($H$2)+1,"")</f>
        <v>23</v>
      </c>
      <c r="AE2" s="24">
        <f>IF(COLUMN()-COLUMN($H$2)+1&lt;=DAY(EOMONTH(DATE($B$1,$D$1,1),0)),COLUMN()-COLUMN($H$2)+1,"")</f>
        <v>24</v>
      </c>
      <c r="AF2" s="24">
        <f>IF(COLUMN()-COLUMN($H$2)+1&lt;=DAY(EOMONTH(DATE($B$1,$D$1,1),0)),COLUMN()-COLUMN($H$2)+1,"")</f>
        <v>25</v>
      </c>
      <c r="AG2" s="24">
        <f>IF(COLUMN()-COLUMN($H$2)+1&lt;=DAY(EOMONTH(DATE($B$1,$D$1,1),0)),COLUMN()-COLUMN($H$2)+1,"")</f>
        <v>26</v>
      </c>
      <c r="AH2" s="24">
        <f>IF(COLUMN()-COLUMN($H$2)+1&lt;=DAY(EOMONTH(DATE($B$1,$D$1,1),0)),COLUMN()-COLUMN($H$2)+1,"")</f>
        <v>27</v>
      </c>
      <c r="AI2" s="24">
        <f>IF(COLUMN()-COLUMN($H$2)+1&lt;=DAY(EOMONTH(DATE($B$1,$D$1,1),0)),COLUMN()-COLUMN($H$2)+1,"")</f>
        <v>28</v>
      </c>
      <c r="AJ2" s="24">
        <f>IF(COLUMN()-COLUMN($H$2)+1&lt;=DAY(EOMONTH(DATE($B$1,$D$1,1),0)),COLUMN()-COLUMN($H$2)+1,"")</f>
        <v>29</v>
      </c>
      <c r="AK2" s="24">
        <f>IF(COLUMN()-COLUMN($H$2)+1&lt;=DAY(EOMONTH(DATE($B$1,$D$1,1),0)),COLUMN()-COLUMN($H$2)+1,"")</f>
        <v>30</v>
      </c>
      <c r="AL2" s="24" t="str">
        <f>IF(COLUMN()-COLUMN($H$2)+1&lt;=DAY(EOMONTH(DATE($B$1,$D$1,1),0)),COLUMN()-COLUMN($H$2)+1,"")</f>
        <v/>
      </c>
    </row>
    <row r="3" spans="1:38" x14ac:dyDescent="0.4">
      <c r="A3" s="29">
        <f>데이터!A2</f>
        <v>1</v>
      </c>
      <c r="B3" s="34" t="str">
        <f>데이터!B2</f>
        <v>교장</v>
      </c>
      <c r="C3" s="35" t="str">
        <f>데이터!C2</f>
        <v>박성자</v>
      </c>
      <c r="D3" s="35" t="str">
        <f>IF(데이터!D2="","",데이터!D2)</f>
        <v>cic8822@jbedu.kr</v>
      </c>
      <c r="E3" s="22">
        <f>SUM(H3:AL3)</f>
        <v>4</v>
      </c>
      <c r="F3" s="38">
        <f>$F$1</f>
        <v>6500</v>
      </c>
      <c r="G3" s="38">
        <f>E3*F3</f>
        <v>26000</v>
      </c>
      <c r="H3" s="22">
        <v>1</v>
      </c>
      <c r="I3" s="22">
        <v>1</v>
      </c>
      <c r="J3" s="22">
        <v>1</v>
      </c>
      <c r="K3" s="22">
        <v>1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</row>
    <row r="4" spans="1:38" x14ac:dyDescent="0.4">
      <c r="A4" s="29">
        <f>데이터!A3</f>
        <v>2</v>
      </c>
      <c r="B4" s="34" t="str">
        <f>데이터!B3</f>
        <v>교사</v>
      </c>
      <c r="C4" s="35" t="str">
        <f>데이터!C3</f>
        <v>김회명</v>
      </c>
      <c r="D4" s="35" t="str">
        <f>IF(데이터!D3="","",데이터!D3)</f>
        <v/>
      </c>
      <c r="E4" s="22">
        <f t="shared" ref="E4:E16" si="0">SUM(H4:AL4)</f>
        <v>4</v>
      </c>
      <c r="F4" s="38">
        <f>$F$1</f>
        <v>6500</v>
      </c>
      <c r="G4" s="38">
        <f t="shared" ref="G4:G16" si="1">E4*F4</f>
        <v>26000</v>
      </c>
      <c r="H4" s="22">
        <v>1</v>
      </c>
      <c r="I4" s="22">
        <v>1</v>
      </c>
      <c r="J4" s="22">
        <v>1</v>
      </c>
      <c r="K4" s="22">
        <v>1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</row>
    <row r="5" spans="1:38" x14ac:dyDescent="0.4">
      <c r="A5" s="29">
        <f>데이터!A4</f>
        <v>3</v>
      </c>
      <c r="B5" s="34" t="str">
        <f>데이터!B4</f>
        <v>교사</v>
      </c>
      <c r="C5" s="35" t="str">
        <f>데이터!C4</f>
        <v>임효숙</v>
      </c>
      <c r="D5" s="35" t="str">
        <f>IF(데이터!D4="","",데이터!D4)</f>
        <v/>
      </c>
      <c r="E5" s="22">
        <f t="shared" si="0"/>
        <v>4</v>
      </c>
      <c r="F5" s="38">
        <f>$F$1</f>
        <v>6500</v>
      </c>
      <c r="G5" s="38">
        <f t="shared" si="1"/>
        <v>26000</v>
      </c>
      <c r="H5" s="22">
        <v>1</v>
      </c>
      <c r="I5" s="22">
        <v>1</v>
      </c>
      <c r="J5" s="22">
        <v>1</v>
      </c>
      <c r="K5" s="22">
        <v>1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</row>
    <row r="6" spans="1:38" x14ac:dyDescent="0.4">
      <c r="A6" s="29">
        <f>데이터!A5</f>
        <v>4</v>
      </c>
      <c r="B6" s="34" t="str">
        <f>데이터!B5</f>
        <v>교사</v>
      </c>
      <c r="C6" s="35" t="str">
        <f>데이터!C5</f>
        <v>김현옥</v>
      </c>
      <c r="D6" s="35" t="str">
        <f>IF(데이터!D5="","",데이터!D5)</f>
        <v/>
      </c>
      <c r="E6" s="22">
        <f t="shared" si="0"/>
        <v>4</v>
      </c>
      <c r="F6" s="38">
        <f>$F$1</f>
        <v>6500</v>
      </c>
      <c r="G6" s="38">
        <f t="shared" si="1"/>
        <v>26000</v>
      </c>
      <c r="H6" s="22">
        <v>1</v>
      </c>
      <c r="I6" s="22">
        <v>1</v>
      </c>
      <c r="J6" s="22">
        <v>1</v>
      </c>
      <c r="K6" s="22">
        <v>1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</row>
    <row r="7" spans="1:38" x14ac:dyDescent="0.4">
      <c r="A7" s="29">
        <f>데이터!A6</f>
        <v>5</v>
      </c>
      <c r="B7" s="34" t="str">
        <f>데이터!B6</f>
        <v>교사</v>
      </c>
      <c r="C7" s="35" t="str">
        <f>데이터!C6</f>
        <v>한혜진</v>
      </c>
      <c r="D7" s="35" t="str">
        <f>IF(데이터!D6="","",데이터!D6)</f>
        <v/>
      </c>
      <c r="E7" s="22">
        <f t="shared" si="0"/>
        <v>4</v>
      </c>
      <c r="F7" s="38">
        <f>$F$1</f>
        <v>6500</v>
      </c>
      <c r="G7" s="38">
        <f t="shared" si="1"/>
        <v>26000</v>
      </c>
      <c r="H7" s="22">
        <v>1</v>
      </c>
      <c r="I7" s="22">
        <v>1</v>
      </c>
      <c r="J7" s="22">
        <v>1</v>
      </c>
      <c r="K7" s="22">
        <v>1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x14ac:dyDescent="0.4">
      <c r="A8" s="29">
        <f>데이터!A7</f>
        <v>6</v>
      </c>
      <c r="B8" s="34" t="str">
        <f>데이터!B7</f>
        <v>교사</v>
      </c>
      <c r="C8" s="35" t="str">
        <f>데이터!C7</f>
        <v>양승우</v>
      </c>
      <c r="D8" s="35" t="str">
        <f>IF(데이터!D7="","",데이터!D7)</f>
        <v/>
      </c>
      <c r="E8" s="22">
        <f t="shared" si="0"/>
        <v>4</v>
      </c>
      <c r="F8" s="38">
        <f>$F$1</f>
        <v>6500</v>
      </c>
      <c r="G8" s="38">
        <f t="shared" si="1"/>
        <v>26000</v>
      </c>
      <c r="H8" s="22">
        <v>1</v>
      </c>
      <c r="I8" s="22">
        <v>1</v>
      </c>
      <c r="J8" s="22">
        <v>1</v>
      </c>
      <c r="K8" s="22">
        <v>1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</row>
    <row r="9" spans="1:38" x14ac:dyDescent="0.4">
      <c r="A9" s="29">
        <f>데이터!A8</f>
        <v>7</v>
      </c>
      <c r="B9" s="34" t="str">
        <f>데이터!B8</f>
        <v>교사</v>
      </c>
      <c r="C9" s="35" t="str">
        <f>데이터!C8</f>
        <v>황기찬</v>
      </c>
      <c r="D9" s="35" t="str">
        <f>IF(데이터!D8="","",데이터!D8)</f>
        <v/>
      </c>
      <c r="E9" s="22">
        <f t="shared" si="0"/>
        <v>4</v>
      </c>
      <c r="F9" s="38">
        <f>$F$1</f>
        <v>6500</v>
      </c>
      <c r="G9" s="38">
        <f t="shared" si="1"/>
        <v>26000</v>
      </c>
      <c r="H9" s="22">
        <v>1</v>
      </c>
      <c r="I9" s="22">
        <v>1</v>
      </c>
      <c r="J9" s="22">
        <v>1</v>
      </c>
      <c r="K9" s="22">
        <v>1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</row>
    <row r="10" spans="1:38" x14ac:dyDescent="0.4">
      <c r="A10" s="29">
        <f>데이터!A9</f>
        <v>8</v>
      </c>
      <c r="B10" s="34" t="str">
        <f>데이터!B9</f>
        <v>행정실장</v>
      </c>
      <c r="C10" s="35" t="str">
        <f>데이터!C9</f>
        <v>함수연</v>
      </c>
      <c r="D10" s="35" t="str">
        <f>IF(데이터!D9="","",데이터!D9)</f>
        <v/>
      </c>
      <c r="E10" s="22">
        <f t="shared" si="0"/>
        <v>4</v>
      </c>
      <c r="F10" s="38">
        <f>$F$1</f>
        <v>6500</v>
      </c>
      <c r="G10" s="38">
        <f t="shared" si="1"/>
        <v>26000</v>
      </c>
      <c r="H10" s="22">
        <v>1</v>
      </c>
      <c r="I10" s="22">
        <v>1</v>
      </c>
      <c r="J10" s="22">
        <v>1</v>
      </c>
      <c r="K10" s="22">
        <v>1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</row>
    <row r="11" spans="1:38" x14ac:dyDescent="0.4">
      <c r="A11" s="29">
        <f>데이터!A10</f>
        <v>9</v>
      </c>
      <c r="B11" s="34" t="str">
        <f>데이터!B10</f>
        <v>주무관</v>
      </c>
      <c r="C11" s="35" t="str">
        <f>데이터!C10</f>
        <v>천정용</v>
      </c>
      <c r="D11" s="35" t="str">
        <f>IF(데이터!D10="","",데이터!D10)</f>
        <v/>
      </c>
      <c r="E11" s="22">
        <f t="shared" si="0"/>
        <v>4</v>
      </c>
      <c r="F11" s="38">
        <f>$F$1</f>
        <v>6500</v>
      </c>
      <c r="G11" s="38">
        <f t="shared" si="1"/>
        <v>26000</v>
      </c>
      <c r="H11" s="22">
        <v>1</v>
      </c>
      <c r="I11" s="22">
        <v>1</v>
      </c>
      <c r="J11" s="22">
        <v>1</v>
      </c>
      <c r="K11" s="22">
        <v>1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</row>
    <row r="12" spans="1:38" x14ac:dyDescent="0.4">
      <c r="A12" s="29">
        <f>데이터!A11</f>
        <v>10</v>
      </c>
      <c r="B12" s="34" t="str">
        <f>데이터!B11</f>
        <v>시설관리원</v>
      </c>
      <c r="C12" s="35" t="str">
        <f>데이터!C11</f>
        <v>양치욱</v>
      </c>
      <c r="D12" s="35" t="str">
        <f>IF(데이터!D11="","",데이터!D11)</f>
        <v/>
      </c>
      <c r="E12" s="22">
        <f t="shared" si="0"/>
        <v>4</v>
      </c>
      <c r="F12" s="38">
        <f>$F$1</f>
        <v>6500</v>
      </c>
      <c r="G12" s="38">
        <f t="shared" si="1"/>
        <v>26000</v>
      </c>
      <c r="H12" s="22">
        <v>1</v>
      </c>
      <c r="I12" s="22">
        <v>1</v>
      </c>
      <c r="J12" s="22">
        <v>1</v>
      </c>
      <c r="K12" s="22">
        <v>1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</row>
    <row r="13" spans="1:38" x14ac:dyDescent="0.4">
      <c r="A13" s="29">
        <f>데이터!A12</f>
        <v>11</v>
      </c>
      <c r="B13" s="34" t="str">
        <f>데이터!B12</f>
        <v>교무실무사</v>
      </c>
      <c r="C13" s="35" t="str">
        <f>데이터!C12</f>
        <v>손경숙</v>
      </c>
      <c r="D13" s="35" t="str">
        <f>IF(데이터!D12="","",데이터!D12)</f>
        <v/>
      </c>
      <c r="E13" s="22">
        <f t="shared" si="0"/>
        <v>4</v>
      </c>
      <c r="F13" s="38">
        <f>$F$1</f>
        <v>6500</v>
      </c>
      <c r="G13" s="38">
        <f t="shared" si="1"/>
        <v>26000</v>
      </c>
      <c r="H13" s="22">
        <v>1</v>
      </c>
      <c r="I13" s="22">
        <v>1</v>
      </c>
      <c r="J13" s="22">
        <v>1</v>
      </c>
      <c r="K13" s="22">
        <v>1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</row>
    <row r="14" spans="1:38" x14ac:dyDescent="0.4">
      <c r="A14" s="29">
        <f>데이터!A13</f>
        <v>12</v>
      </c>
      <c r="B14" s="34" t="str">
        <f>데이터!B13</f>
        <v>순회교사</v>
      </c>
      <c r="C14" s="35" t="str">
        <f>데이터!C13</f>
        <v>임서영</v>
      </c>
      <c r="D14" s="35" t="str">
        <f>IF(데이터!D13="","",데이터!D13)</f>
        <v/>
      </c>
      <c r="E14" s="22">
        <f t="shared" si="0"/>
        <v>3</v>
      </c>
      <c r="F14" s="38">
        <f>$F$1</f>
        <v>6500</v>
      </c>
      <c r="G14" s="38">
        <f t="shared" si="1"/>
        <v>19500</v>
      </c>
      <c r="H14" s="22"/>
      <c r="I14" s="22"/>
      <c r="J14" s="22"/>
      <c r="K14" s="22"/>
      <c r="L14" s="22">
        <v>1</v>
      </c>
      <c r="M14" s="22">
        <v>1</v>
      </c>
      <c r="N14" s="22">
        <v>1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</row>
    <row r="15" spans="1:38" x14ac:dyDescent="0.4">
      <c r="A15" s="29">
        <f>데이터!A14</f>
        <v>13</v>
      </c>
      <c r="B15" s="34" t="str">
        <f>데이터!B14</f>
        <v>순회교사</v>
      </c>
      <c r="C15" s="35" t="str">
        <f>데이터!C14</f>
        <v>윤호영</v>
      </c>
      <c r="D15" s="35" t="str">
        <f>IF(데이터!D14="","",데이터!D14)</f>
        <v/>
      </c>
      <c r="E15" s="22">
        <f t="shared" si="0"/>
        <v>3</v>
      </c>
      <c r="F15" s="38">
        <f>$F$1</f>
        <v>6500</v>
      </c>
      <c r="G15" s="38">
        <f t="shared" si="1"/>
        <v>19500</v>
      </c>
      <c r="H15" s="22"/>
      <c r="I15" s="22"/>
      <c r="J15" s="22"/>
      <c r="K15" s="22"/>
      <c r="L15" s="22">
        <v>1</v>
      </c>
      <c r="M15" s="22">
        <v>1</v>
      </c>
      <c r="N15" s="22">
        <v>1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</row>
    <row r="16" spans="1:38" x14ac:dyDescent="0.4">
      <c r="A16" s="29">
        <f>데이터!A15</f>
        <v>14</v>
      </c>
      <c r="B16" s="34" t="str">
        <f>데이터!B15</f>
        <v>원어민교사</v>
      </c>
      <c r="C16" s="35" t="str">
        <f>데이터!C15</f>
        <v>Yondela Ngquseka</v>
      </c>
      <c r="D16" s="35" t="str">
        <f>IF(데이터!D15="","",데이터!D15)</f>
        <v/>
      </c>
      <c r="E16" s="22">
        <f t="shared" si="0"/>
        <v>3</v>
      </c>
      <c r="F16" s="38">
        <f>$F$1</f>
        <v>6500</v>
      </c>
      <c r="G16" s="38">
        <f t="shared" si="1"/>
        <v>19500</v>
      </c>
      <c r="H16" s="22"/>
      <c r="I16" s="22"/>
      <c r="J16" s="22"/>
      <c r="K16" s="22"/>
      <c r="L16" s="22">
        <v>1</v>
      </c>
      <c r="M16" s="22">
        <v>1</v>
      </c>
      <c r="N16" s="22">
        <v>1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</row>
  </sheetData>
  <phoneticPr fontId="6" type="noConversion"/>
  <dataValidations count="2">
    <dataValidation type="list" allowBlank="1" showInputMessage="1" showErrorMessage="1" sqref="D1" xr:uid="{EC95E956-2B4F-4045-AB2D-33954751A304}">
      <formula1>"1,2,3,4,5,6,7,8,9,10,11,12"</formula1>
    </dataValidation>
    <dataValidation type="list" allowBlank="1" showInputMessage="1" showErrorMessage="1" sqref="B1" xr:uid="{1AAB245B-145B-4FC9-9B12-5D700D7A2F9E}">
      <formula1>"2020,2021,2022,2023,2024,2025,2026,2027,2028,2029,2030,2031,2032,2033,2034,2035,2036,2037,2038,2039,2040,2041,2042,2043,2044,2045,2046,2047,2048,2049,2050"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4"/>
  <sheetViews>
    <sheetView workbookViewId="0">
      <selection activeCell="I5" sqref="I5"/>
    </sheetView>
  </sheetViews>
  <sheetFormatPr defaultColWidth="9" defaultRowHeight="17.399999999999999" x14ac:dyDescent="0.4"/>
  <cols>
    <col min="1" max="1" width="8" style="1" customWidth="1"/>
    <col min="2" max="2" width="13.19921875" style="1" customWidth="1"/>
    <col min="3" max="3" width="23.19921875" style="1" bestFit="1" customWidth="1"/>
    <col min="4" max="5" width="11.3984375" style="1" bestFit="1" customWidth="1"/>
    <col min="6" max="6" width="15.69921875" style="1" customWidth="1"/>
    <col min="7" max="7" width="14.09765625" style="1" customWidth="1"/>
    <col min="8" max="8" width="13.8984375" style="1" customWidth="1"/>
    <col min="9" max="9" width="11.8984375" style="1" bestFit="1" customWidth="1"/>
    <col min="10" max="16384" width="9" style="1"/>
  </cols>
  <sheetData>
    <row r="1" spans="1:7" ht="30" x14ac:dyDescent="0.4">
      <c r="A1" s="19" t="str">
        <f>학교급식!B1&amp;"년 "&amp;학교급식!D1&amp;"월 교직원급식비 징수내역"</f>
        <v>2026년 9월 교직원급식비 징수내역</v>
      </c>
      <c r="B1" s="19"/>
      <c r="C1" s="19"/>
      <c r="D1" s="19"/>
      <c r="E1" s="19"/>
      <c r="F1" s="19"/>
      <c r="G1" s="19"/>
    </row>
    <row r="2" spans="1:7" s="2" customFormat="1" ht="21.6" thickBot="1" x14ac:dyDescent="0.45"/>
    <row r="3" spans="1:7" s="2" customFormat="1" ht="21" x14ac:dyDescent="0.4">
      <c r="A3" s="12" t="s">
        <v>4</v>
      </c>
      <c r="B3" s="13" t="s">
        <v>5</v>
      </c>
      <c r="C3" s="13" t="s">
        <v>0</v>
      </c>
      <c r="D3" s="13" t="s">
        <v>6</v>
      </c>
      <c r="E3" s="13" t="s">
        <v>7</v>
      </c>
      <c r="F3" s="13" t="s">
        <v>8</v>
      </c>
      <c r="G3" s="14" t="s">
        <v>1</v>
      </c>
    </row>
    <row r="4" spans="1:7" s="2" customFormat="1" ht="21" x14ac:dyDescent="0.4">
      <c r="A4" s="3">
        <v>1</v>
      </c>
      <c r="B4" s="4" t="s">
        <v>9</v>
      </c>
      <c r="C4" s="15" t="s">
        <v>29</v>
      </c>
      <c r="D4" s="16">
        <f>학교급식!E3</f>
        <v>4</v>
      </c>
      <c r="E4" s="17">
        <f>학교급식!F3</f>
        <v>6500</v>
      </c>
      <c r="F4" s="17">
        <f>학교급식!G3</f>
        <v>26000</v>
      </c>
      <c r="G4" s="5"/>
    </row>
    <row r="5" spans="1:7" s="2" customFormat="1" ht="21" x14ac:dyDescent="0.4">
      <c r="A5" s="3">
        <v>2</v>
      </c>
      <c r="B5" s="4" t="s">
        <v>14</v>
      </c>
      <c r="C5" s="15" t="s">
        <v>24</v>
      </c>
      <c r="D5" s="16">
        <f>학교급식!E4</f>
        <v>4</v>
      </c>
      <c r="E5" s="17">
        <f>학교급식!F4</f>
        <v>6500</v>
      </c>
      <c r="F5" s="17">
        <f>학교급식!G4</f>
        <v>26000</v>
      </c>
      <c r="G5" s="5"/>
    </row>
    <row r="6" spans="1:7" s="2" customFormat="1" ht="21" x14ac:dyDescent="0.4">
      <c r="A6" s="3">
        <v>3</v>
      </c>
      <c r="B6" s="10" t="s">
        <v>10</v>
      </c>
      <c r="C6" s="15" t="s">
        <v>13</v>
      </c>
      <c r="D6" s="16">
        <f>학교급식!E5</f>
        <v>4</v>
      </c>
      <c r="E6" s="17">
        <f>학교급식!F5</f>
        <v>6500</v>
      </c>
      <c r="F6" s="17">
        <f>학교급식!G5</f>
        <v>26000</v>
      </c>
      <c r="G6" s="11"/>
    </row>
    <row r="7" spans="1:7" s="2" customFormat="1" ht="21" x14ac:dyDescent="0.4">
      <c r="A7" s="3">
        <v>4</v>
      </c>
      <c r="B7" s="4" t="s">
        <v>2</v>
      </c>
      <c r="C7" s="15" t="s">
        <v>27</v>
      </c>
      <c r="D7" s="16">
        <f>학교급식!E6</f>
        <v>4</v>
      </c>
      <c r="E7" s="17">
        <f>학교급식!F6</f>
        <v>6500</v>
      </c>
      <c r="F7" s="17">
        <f>학교급식!G6</f>
        <v>26000</v>
      </c>
      <c r="G7" s="5"/>
    </row>
    <row r="8" spans="1:7" s="2" customFormat="1" ht="21" x14ac:dyDescent="0.4">
      <c r="A8" s="3">
        <v>5</v>
      </c>
      <c r="B8" s="4" t="s">
        <v>14</v>
      </c>
      <c r="C8" s="15" t="s">
        <v>16</v>
      </c>
      <c r="D8" s="16">
        <f>학교급식!E7</f>
        <v>4</v>
      </c>
      <c r="E8" s="17">
        <f>학교급식!F7</f>
        <v>6500</v>
      </c>
      <c r="F8" s="17">
        <f>학교급식!G7</f>
        <v>26000</v>
      </c>
      <c r="G8" s="5"/>
    </row>
    <row r="9" spans="1:7" s="2" customFormat="1" ht="21" x14ac:dyDescent="0.4">
      <c r="A9" s="3">
        <v>6</v>
      </c>
      <c r="B9" s="4" t="s">
        <v>14</v>
      </c>
      <c r="C9" s="15" t="s">
        <v>17</v>
      </c>
      <c r="D9" s="16">
        <f>학교급식!E8</f>
        <v>4</v>
      </c>
      <c r="E9" s="17">
        <f>학교급식!F8</f>
        <v>6500</v>
      </c>
      <c r="F9" s="17">
        <f>학교급식!G8</f>
        <v>26000</v>
      </c>
      <c r="G9" s="5"/>
    </row>
    <row r="10" spans="1:7" s="2" customFormat="1" ht="21" x14ac:dyDescent="0.4">
      <c r="A10" s="3">
        <v>7</v>
      </c>
      <c r="B10" s="8" t="s">
        <v>14</v>
      </c>
      <c r="C10" s="18" t="s">
        <v>19</v>
      </c>
      <c r="D10" s="16">
        <f>학교급식!E9</f>
        <v>4</v>
      </c>
      <c r="E10" s="17">
        <f>학교급식!F9</f>
        <v>6500</v>
      </c>
      <c r="F10" s="17">
        <f>학교급식!G9</f>
        <v>26000</v>
      </c>
      <c r="G10" s="5"/>
    </row>
    <row r="11" spans="1:7" s="2" customFormat="1" ht="21" x14ac:dyDescent="0.4">
      <c r="A11" s="3">
        <v>8</v>
      </c>
      <c r="B11" s="8" t="s">
        <v>30</v>
      </c>
      <c r="C11" s="18" t="s">
        <v>31</v>
      </c>
      <c r="D11" s="16">
        <f>학교급식!E10</f>
        <v>4</v>
      </c>
      <c r="E11" s="17">
        <f>학교급식!F10</f>
        <v>6500</v>
      </c>
      <c r="F11" s="17">
        <f>학교급식!G10</f>
        <v>26000</v>
      </c>
      <c r="G11" s="5"/>
    </row>
    <row r="12" spans="1:7" s="2" customFormat="1" ht="21" x14ac:dyDescent="0.4">
      <c r="A12" s="3">
        <v>9</v>
      </c>
      <c r="B12" s="4" t="s">
        <v>15</v>
      </c>
      <c r="C12" s="15" t="s">
        <v>23</v>
      </c>
      <c r="D12" s="16">
        <f>학교급식!E11</f>
        <v>4</v>
      </c>
      <c r="E12" s="17">
        <f>학교급식!F11</f>
        <v>6500</v>
      </c>
      <c r="F12" s="17">
        <f>학교급식!G11</f>
        <v>26000</v>
      </c>
      <c r="G12" s="5"/>
    </row>
    <row r="13" spans="1:7" s="2" customFormat="1" ht="21" x14ac:dyDescent="0.4">
      <c r="A13" s="3">
        <v>10</v>
      </c>
      <c r="B13" s="4" t="s">
        <v>11</v>
      </c>
      <c r="C13" s="15" t="s">
        <v>12</v>
      </c>
      <c r="D13" s="16">
        <f>학교급식!E12</f>
        <v>4</v>
      </c>
      <c r="E13" s="17">
        <f>학교급식!F12</f>
        <v>6500</v>
      </c>
      <c r="F13" s="17">
        <f>학교급식!G12</f>
        <v>26000</v>
      </c>
      <c r="G13" s="5"/>
    </row>
    <row r="14" spans="1:7" s="2" customFormat="1" ht="21" x14ac:dyDescent="0.4">
      <c r="A14" s="3">
        <v>11</v>
      </c>
      <c r="B14" s="8" t="s">
        <v>18</v>
      </c>
      <c r="C14" s="18" t="s">
        <v>28</v>
      </c>
      <c r="D14" s="16">
        <f>학교급식!E13</f>
        <v>4</v>
      </c>
      <c r="E14" s="17">
        <f>학교급식!F13</f>
        <v>6500</v>
      </c>
      <c r="F14" s="17">
        <f>학교급식!G13</f>
        <v>26000</v>
      </c>
      <c r="G14" s="9"/>
    </row>
    <row r="15" spans="1:7" s="2" customFormat="1" ht="21" hidden="1" x14ac:dyDescent="0.4">
      <c r="A15" s="3">
        <v>12</v>
      </c>
      <c r="B15" s="8" t="s">
        <v>20</v>
      </c>
      <c r="C15" s="18" t="s">
        <v>26</v>
      </c>
      <c r="D15" s="16">
        <f>학교급식!E14</f>
        <v>3</v>
      </c>
      <c r="E15" s="17">
        <f>학교급식!F14</f>
        <v>6500</v>
      </c>
      <c r="F15" s="17">
        <f>학교급식!G14</f>
        <v>19500</v>
      </c>
      <c r="G15" s="9"/>
    </row>
    <row r="16" spans="1:7" s="2" customFormat="1" ht="21" hidden="1" x14ac:dyDescent="0.4">
      <c r="A16" s="3">
        <v>13</v>
      </c>
      <c r="B16" s="8" t="s">
        <v>20</v>
      </c>
      <c r="C16" s="18" t="s">
        <v>25</v>
      </c>
      <c r="D16" s="16">
        <f>학교급식!E15</f>
        <v>3</v>
      </c>
      <c r="E16" s="17">
        <f>학교급식!F15</f>
        <v>6500</v>
      </c>
      <c r="F16" s="17">
        <f>학교급식!G15</f>
        <v>19500</v>
      </c>
      <c r="G16" s="9"/>
    </row>
    <row r="17" spans="1:7" s="2" customFormat="1" ht="21" x14ac:dyDescent="0.4">
      <c r="A17" s="3">
        <v>14</v>
      </c>
      <c r="B17" s="8" t="s">
        <v>21</v>
      </c>
      <c r="C17" s="18" t="s">
        <v>22</v>
      </c>
      <c r="D17" s="16">
        <f>학교급식!E16</f>
        <v>3</v>
      </c>
      <c r="E17" s="17">
        <f>학교급식!F16</f>
        <v>6500</v>
      </c>
      <c r="F17" s="17">
        <f>학교급식!G16</f>
        <v>19500</v>
      </c>
      <c r="G17" s="9"/>
    </row>
    <row r="18" spans="1:7" s="2" customFormat="1" ht="21.6" thickBot="1" x14ac:dyDescent="0.45">
      <c r="A18" s="20" t="s">
        <v>3</v>
      </c>
      <c r="B18" s="21"/>
      <c r="C18" s="21"/>
      <c r="D18" s="6">
        <f>SUM(D4:D17)</f>
        <v>53</v>
      </c>
      <c r="E18" s="6"/>
      <c r="F18" s="6">
        <f>SUM(F4:F17)</f>
        <v>344500</v>
      </c>
      <c r="G18" s="7"/>
    </row>
    <row r="19" spans="1:7" s="2" customFormat="1" ht="21" x14ac:dyDescent="0.4">
      <c r="A19" s="1"/>
      <c r="B19" s="1"/>
      <c r="C19" s="1"/>
      <c r="D19" s="1"/>
      <c r="E19" s="1"/>
      <c r="F19" s="1"/>
      <c r="G19" s="1"/>
    </row>
    <row r="24" spans="1:7" x14ac:dyDescent="0.4">
      <c r="E24" s="1" t="s">
        <v>32</v>
      </c>
    </row>
  </sheetData>
  <mergeCells count="2">
    <mergeCell ref="A1:G1"/>
    <mergeCell ref="A18:C18"/>
  </mergeCells>
  <phoneticPr fontId="6" type="noConversion"/>
  <pageMargins left="0.7" right="0.7" top="0.75" bottom="0.75" header="0.3" footer="0.3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</vt:lpstr>
      <vt:lpstr>학교급식</vt:lpstr>
      <vt:lpstr>개인별내역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최익창</cp:lastModifiedBy>
  <cp:lastPrinted>2024-04-15T01:42:11Z</cp:lastPrinted>
  <dcterms:created xsi:type="dcterms:W3CDTF">2009-03-10T02:17:24Z</dcterms:created>
  <dcterms:modified xsi:type="dcterms:W3CDTF">2026-09-16T10:46:50Z</dcterms:modified>
</cp:coreProperties>
</file>