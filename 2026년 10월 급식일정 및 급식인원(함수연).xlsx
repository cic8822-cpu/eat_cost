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함수연\"/>
    </mc:Choice>
  </mc:AlternateContent>
  <xr:revisionPtr revIDLastSave="0" documentId="13_ncr:1_{3897146D-F862-4E1F-8FCA-5D4614B8B729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개인별내역" sheetId="10" r:id="rId1"/>
    <sheet name="급식일정" sheetId="1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6" i="11" l="1"/>
  <c r="J37" i="11" s="1"/>
  <c r="D11" i="10" l="1"/>
  <c r="F11" i="10" s="1"/>
  <c r="Q34" i="11"/>
  <c r="S34" i="11" s="1"/>
  <c r="Q33" i="11"/>
  <c r="S33" i="11" s="1"/>
  <c r="Q32" i="11"/>
  <c r="S32" i="11" s="1"/>
  <c r="Q31" i="11"/>
  <c r="S31" i="11" s="1"/>
  <c r="V31" i="11" s="1"/>
  <c r="W31" i="11" s="1"/>
  <c r="Q30" i="11"/>
  <c r="S30" i="11" s="1"/>
  <c r="Q27" i="11"/>
  <c r="S27" i="11" s="1"/>
  <c r="Q26" i="11"/>
  <c r="S26" i="11" s="1"/>
  <c r="Q25" i="11"/>
  <c r="S25" i="11" s="1"/>
  <c r="Q24" i="11"/>
  <c r="S24" i="11" s="1"/>
  <c r="T24" i="11" s="1"/>
  <c r="Q23" i="11"/>
  <c r="S23" i="11" s="1"/>
  <c r="Q20" i="11"/>
  <c r="S20" i="11" s="1"/>
  <c r="Q19" i="11"/>
  <c r="S19" i="11" s="1"/>
  <c r="Q18" i="11"/>
  <c r="S18" i="11" s="1"/>
  <c r="Q17" i="11"/>
  <c r="S17" i="11" s="1"/>
  <c r="Q16" i="11"/>
  <c r="S16" i="11" s="1"/>
  <c r="Q12" i="11"/>
  <c r="S12" i="11" s="1"/>
  <c r="Q11" i="11"/>
  <c r="S11" i="11" s="1"/>
  <c r="Q10" i="11"/>
  <c r="S10" i="11" s="1"/>
  <c r="V7" i="11"/>
  <c r="W7" i="11" s="1"/>
  <c r="Q6" i="11"/>
  <c r="S6" i="11" s="1"/>
  <c r="Q5" i="11"/>
  <c r="S5" i="11" s="1"/>
  <c r="T5" i="11" s="1"/>
  <c r="C36" i="11"/>
  <c r="V16" i="11" l="1"/>
  <c r="W16" i="11" s="1"/>
  <c r="T16" i="11"/>
  <c r="V14" i="11"/>
  <c r="W14" i="11" s="1"/>
  <c r="T17" i="11"/>
  <c r="V17" i="11"/>
  <c r="W17" i="11" s="1"/>
  <c r="V19" i="11"/>
  <c r="W19" i="11" s="1"/>
  <c r="T19" i="11"/>
  <c r="V20" i="11"/>
  <c r="W20" i="11" s="1"/>
  <c r="T20" i="11"/>
  <c r="V22" i="11"/>
  <c r="W22" i="11" s="1"/>
  <c r="T25" i="11"/>
  <c r="V25" i="11"/>
  <c r="W25" i="11" s="1"/>
  <c r="V26" i="11"/>
  <c r="W26" i="11" s="1"/>
  <c r="T26" i="11"/>
  <c r="T27" i="11"/>
  <c r="V27" i="11"/>
  <c r="W27" i="11" s="1"/>
  <c r="V6" i="11"/>
  <c r="W6" i="11" s="1"/>
  <c r="T6" i="11"/>
  <c r="V28" i="11"/>
  <c r="W28" i="11" s="1"/>
  <c r="V29" i="11"/>
  <c r="W29" i="11" s="1"/>
  <c r="V10" i="11"/>
  <c r="W10" i="11" s="1"/>
  <c r="T10" i="11"/>
  <c r="V32" i="11"/>
  <c r="W32" i="11" s="1"/>
  <c r="T32" i="11"/>
  <c r="V11" i="11"/>
  <c r="W11" i="11" s="1"/>
  <c r="T11" i="11"/>
  <c r="V33" i="11"/>
  <c r="W33" i="11" s="1"/>
  <c r="T33" i="11"/>
  <c r="V12" i="11"/>
  <c r="W12" i="11" s="1"/>
  <c r="T12" i="11"/>
  <c r="T34" i="11"/>
  <c r="V34" i="11"/>
  <c r="W34" i="11" s="1"/>
  <c r="V15" i="11"/>
  <c r="W15" i="11" s="1"/>
  <c r="V18" i="11"/>
  <c r="W18" i="11" s="1"/>
  <c r="T18" i="11"/>
  <c r="V21" i="11"/>
  <c r="W21" i="11" s="1"/>
  <c r="V23" i="11"/>
  <c r="W23" i="11" s="1"/>
  <c r="T23" i="11"/>
  <c r="V30" i="11"/>
  <c r="W30" i="11" s="1"/>
  <c r="T30" i="11"/>
  <c r="V8" i="11"/>
  <c r="W8" i="11" s="1"/>
  <c r="V9" i="11"/>
  <c r="W9" i="11" s="1"/>
  <c r="V13" i="11"/>
  <c r="W13" i="11" s="1"/>
  <c r="W35" i="11"/>
  <c r="T31" i="11"/>
  <c r="V24" i="11"/>
  <c r="W24" i="11" s="1"/>
  <c r="V5" i="11"/>
  <c r="W5" i="11" s="1"/>
  <c r="M36" i="11" l="1"/>
  <c r="C37" i="11"/>
  <c r="O36" i="11"/>
  <c r="D16" i="10" s="1"/>
  <c r="F16" i="10" s="1"/>
  <c r="N36" i="11"/>
  <c r="D15" i="10" s="1"/>
  <c r="F15" i="10" s="1"/>
  <c r="U36" i="11"/>
  <c r="U37" i="11" s="1"/>
  <c r="R36" i="11"/>
  <c r="I36" i="11"/>
  <c r="L36" i="11"/>
  <c r="D13" i="10" s="1"/>
  <c r="K36" i="11"/>
  <c r="D12" i="10" s="1"/>
  <c r="H36" i="11"/>
  <c r="G36" i="11"/>
  <c r="F36" i="11"/>
  <c r="E36" i="11"/>
  <c r="D36" i="11"/>
  <c r="O37" i="11" l="1"/>
  <c r="N37" i="11"/>
  <c r="Q36" i="11"/>
  <c r="Q37" i="11" s="1"/>
  <c r="D14" i="10"/>
  <c r="P36" i="11"/>
  <c r="F14" i="10" l="1"/>
  <c r="D17" i="10"/>
  <c r="F17" i="10" s="1"/>
  <c r="W36" i="11" l="1"/>
  <c r="W37" i="11" s="1"/>
  <c r="V36" i="11"/>
  <c r="V37" i="11" s="1"/>
  <c r="S36" i="11"/>
  <c r="T36" i="11"/>
  <c r="K37" i="11"/>
  <c r="L37" i="11"/>
  <c r="M37" i="11"/>
  <c r="D5" i="10"/>
  <c r="D6" i="10"/>
  <c r="D7" i="10"/>
  <c r="D8" i="10"/>
  <c r="D10" i="10"/>
  <c r="D4" i="10"/>
  <c r="D9" i="10" l="1"/>
  <c r="F9" i="10" s="1"/>
  <c r="F10" i="10"/>
  <c r="F8" i="10"/>
  <c r="F13" i="10"/>
  <c r="G37" i="11"/>
  <c r="D18" i="10" l="1"/>
  <c r="F12" i="10"/>
  <c r="F7" i="10"/>
  <c r="F37" i="11"/>
  <c r="F6" i="10" l="1"/>
  <c r="E37" i="11"/>
  <c r="R37" i="11" l="1"/>
  <c r="P37" i="11"/>
  <c r="I37" i="11"/>
  <c r="H37" i="11"/>
  <c r="D37" i="11"/>
  <c r="F5" i="10"/>
  <c r="F4" i="10"/>
  <c r="F18" i="10" l="1"/>
  <c r="T37" i="11"/>
  <c r="S37" i="11"/>
</calcChain>
</file>

<file path=xl/sharedStrings.xml><?xml version="1.0" encoding="utf-8"?>
<sst xmlns="http://schemas.openxmlformats.org/spreadsheetml/2006/main" count="107" uniqueCount="79">
  <si>
    <t>삼계중학교</t>
    <phoneticPr fontId="2" type="noConversion"/>
  </si>
  <si>
    <t xml:space="preserve">급식단가: </t>
    <phoneticPr fontId="2" type="noConversion"/>
  </si>
  <si>
    <t>개인별 내역</t>
    <phoneticPr fontId="2" type="noConversion"/>
  </si>
  <si>
    <t>합계</t>
    <phoneticPr fontId="2" type="noConversion"/>
  </si>
  <si>
    <t>급식인원</t>
    <phoneticPr fontId="2" type="noConversion"/>
  </si>
  <si>
    <t>급식비(인원*단가)</t>
    <phoneticPr fontId="2" type="noConversion"/>
  </si>
  <si>
    <t>인원 변동사유</t>
    <phoneticPr fontId="2" type="noConversion"/>
  </si>
  <si>
    <t>계</t>
    <phoneticPr fontId="2" type="noConversion"/>
  </si>
  <si>
    <t>학생</t>
    <phoneticPr fontId="2" type="noConversion"/>
  </si>
  <si>
    <t>교직원</t>
    <phoneticPr fontId="2" type="noConversion"/>
  </si>
  <si>
    <t>월일</t>
    <phoneticPr fontId="2" type="noConversion"/>
  </si>
  <si>
    <t>개인별및총계</t>
    <phoneticPr fontId="2" type="noConversion"/>
  </si>
  <si>
    <t>성명</t>
    <phoneticPr fontId="2" type="noConversion"/>
  </si>
  <si>
    <t>비고</t>
    <phoneticPr fontId="2" type="noConversion"/>
  </si>
  <si>
    <t>교사</t>
    <phoneticPr fontId="2" type="noConversion"/>
  </si>
  <si>
    <t>교직원 계</t>
    <phoneticPr fontId="2" type="noConversion"/>
  </si>
  <si>
    <t>삼계중학교</t>
    <phoneticPr fontId="2" type="noConversion"/>
  </si>
  <si>
    <t>순</t>
    <phoneticPr fontId="2" type="noConversion"/>
  </si>
  <si>
    <t>직</t>
    <phoneticPr fontId="2" type="noConversion"/>
  </si>
  <si>
    <t>급식일수</t>
    <phoneticPr fontId="2" type="noConversion"/>
  </si>
  <si>
    <t>급식단가</t>
    <phoneticPr fontId="2" type="noConversion"/>
  </si>
  <si>
    <t>징수금액</t>
    <phoneticPr fontId="2" type="noConversion"/>
  </si>
  <si>
    <t>교장</t>
    <phoneticPr fontId="2" type="noConversion"/>
  </si>
  <si>
    <t>교사</t>
    <phoneticPr fontId="2" type="noConversion"/>
  </si>
  <si>
    <t>요일</t>
    <phoneticPr fontId="2" type="noConversion"/>
  </si>
  <si>
    <t>계</t>
    <phoneticPr fontId="2" type="noConversion"/>
  </si>
  <si>
    <t>시설관리원</t>
    <phoneticPr fontId="13" type="noConversion"/>
  </si>
  <si>
    <t>양치욱</t>
    <phoneticPr fontId="13" type="noConversion"/>
  </si>
  <si>
    <t>목</t>
  </si>
  <si>
    <t>금</t>
  </si>
  <si>
    <t>화</t>
  </si>
  <si>
    <t>수</t>
  </si>
  <si>
    <t>임효숙</t>
    <phoneticPr fontId="2" type="noConversion"/>
  </si>
  <si>
    <t>교사</t>
    <phoneticPr fontId="13" type="noConversion"/>
  </si>
  <si>
    <t>주무관</t>
    <phoneticPr fontId="13" type="noConversion"/>
  </si>
  <si>
    <t>토</t>
  </si>
  <si>
    <t>일</t>
  </si>
  <si>
    <t>월</t>
  </si>
  <si>
    <t>한혜진</t>
    <phoneticPr fontId="13" type="noConversion"/>
  </si>
  <si>
    <t>양승우</t>
    <phoneticPr fontId="13" type="noConversion"/>
  </si>
  <si>
    <t>교무실무사</t>
    <phoneticPr fontId="13" type="noConversion"/>
  </si>
  <si>
    <t>황기찬</t>
    <phoneticPr fontId="13" type="noConversion"/>
  </si>
  <si>
    <t>순회교사</t>
    <phoneticPr fontId="13" type="noConversion"/>
  </si>
  <si>
    <t>원어민교사</t>
    <phoneticPr fontId="13" type="noConversion"/>
  </si>
  <si>
    <t>Yondela Ngquseka</t>
    <phoneticPr fontId="13" type="noConversion"/>
  </si>
  <si>
    <t>금</t>
    <phoneticPr fontId="13" type="noConversion"/>
  </si>
  <si>
    <t>천정용</t>
    <phoneticPr fontId="13" type="noConversion"/>
  </si>
  <si>
    <t>김회명</t>
    <phoneticPr fontId="13" type="noConversion"/>
  </si>
  <si>
    <t>윤호영</t>
    <phoneticPr fontId="13" type="noConversion"/>
  </si>
  <si>
    <t>임서영</t>
    <phoneticPr fontId="13" type="noConversion"/>
  </si>
  <si>
    <t>김현옥</t>
    <phoneticPr fontId="13" type="noConversion"/>
  </si>
  <si>
    <t>손경숙</t>
    <phoneticPr fontId="13" type="noConversion"/>
  </si>
  <si>
    <t>목,금</t>
    <phoneticPr fontId="13" type="noConversion"/>
  </si>
  <si>
    <t>월,화</t>
    <phoneticPr fontId="13" type="noConversion"/>
  </si>
  <si>
    <t>목</t>
    <phoneticPr fontId="13" type="noConversion"/>
  </si>
  <si>
    <t>목</t>
    <phoneticPr fontId="2" type="noConversion"/>
  </si>
  <si>
    <t>박성자</t>
    <phoneticPr fontId="13" type="noConversion"/>
  </si>
  <si>
    <t>금</t>
    <phoneticPr fontId="2" type="noConversion"/>
  </si>
  <si>
    <t>토</t>
    <phoneticPr fontId="2" type="noConversion"/>
  </si>
  <si>
    <t>대체휴일</t>
    <phoneticPr fontId="2" type="noConversion"/>
  </si>
  <si>
    <t>한글날</t>
    <phoneticPr fontId="2" type="noConversion"/>
  </si>
  <si>
    <t>2026년 10월 급식일정 및 급식인원</t>
    <phoneticPr fontId="2" type="noConversion"/>
  </si>
  <si>
    <t>2026년 10월 교직원급식비 징수내역</t>
    <phoneticPr fontId="2" type="noConversion"/>
  </si>
  <si>
    <t>행정실장</t>
    <phoneticPr fontId="13" type="noConversion"/>
  </si>
  <si>
    <t>함수연</t>
    <phoneticPr fontId="13" type="noConversion"/>
  </si>
  <si>
    <t xml:space="preserve">사계사제동행 </t>
    <phoneticPr fontId="2" type="noConversion"/>
  </si>
  <si>
    <t>홍길동</t>
    <phoneticPr fontId="2" type="noConversion"/>
  </si>
  <si>
    <t>김수지</t>
    <phoneticPr fontId="2" type="noConversion"/>
  </si>
  <si>
    <t>이수지</t>
    <phoneticPr fontId="2" type="noConversion"/>
  </si>
  <si>
    <t>박수지</t>
    <phoneticPr fontId="2" type="noConversion"/>
  </si>
  <si>
    <t>최수지</t>
    <phoneticPr fontId="2" type="noConversion"/>
  </si>
  <si>
    <t>양수지</t>
    <phoneticPr fontId="2" type="noConversion"/>
  </si>
  <si>
    <t>이길동</t>
    <phoneticPr fontId="2" type="noConversion"/>
  </si>
  <si>
    <t>김길동</t>
    <phoneticPr fontId="2" type="noConversion"/>
  </si>
  <si>
    <t>박길동</t>
    <phoneticPr fontId="2" type="noConversion"/>
  </si>
  <si>
    <t>양길동</t>
    <phoneticPr fontId="2" type="noConversion"/>
  </si>
  <si>
    <t>장길동</t>
    <phoneticPr fontId="2" type="noConversion"/>
  </si>
  <si>
    <t>우길동</t>
    <phoneticPr fontId="2" type="noConversion"/>
  </si>
  <si>
    <t>급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</si>
</sst>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0" x14ac:knownFonts="1"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12"/>
      <name val="맑은 고딕"/>
      <family val="3"/>
      <charset val="129"/>
    </font>
    <font>
      <b/>
      <sz val="12"/>
      <name val="맑은 고딕"/>
      <family val="3"/>
      <charset val="129"/>
    </font>
    <font>
      <sz val="11"/>
      <name val="맑은 고딕"/>
      <family val="3"/>
      <charset val="129"/>
    </font>
    <font>
      <sz val="10"/>
      <name val="맑은 고딕"/>
      <family val="3"/>
      <charset val="129"/>
    </font>
    <font>
      <sz val="11"/>
      <name val="돋움"/>
      <family val="3"/>
      <charset val="129"/>
    </font>
    <font>
      <sz val="14"/>
      <color indexed="8"/>
      <name val="맑은 고딕"/>
      <family val="3"/>
      <charset val="129"/>
    </font>
    <font>
      <b/>
      <sz val="20"/>
      <color indexed="8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b/>
      <sz val="22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4"/>
      <name val="맑은 고딕"/>
      <family val="3"/>
      <charset val="129"/>
    </font>
    <font>
      <sz val="12"/>
      <color rgb="FF0033CC"/>
      <name val="맑은 고딕"/>
      <family val="3"/>
      <charset val="129"/>
    </font>
    <font>
      <sz val="14"/>
      <color rgb="FFFF0000"/>
      <name val="맑은 고딕"/>
      <family val="3"/>
      <charset val="129"/>
    </font>
    <font>
      <b/>
      <sz val="14"/>
      <name val="맑은 고딕"/>
      <family val="3"/>
      <charset val="129"/>
    </font>
    <font>
      <sz val="14"/>
      <color rgb="FF0033CC"/>
      <name val="맑은 고딕"/>
      <family val="3"/>
      <charset val="129"/>
    </font>
    <font>
      <sz val="14"/>
      <color rgb="FFC00000"/>
      <name val="맑은 고딕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7" fillId="0" borderId="0" applyFont="0" applyFill="0" applyBorder="0" applyAlignment="0" applyProtection="0"/>
  </cellStyleXfs>
  <cellXfs count="93">
    <xf numFmtId="0" fontId="0" fillId="0" borderId="0" xfId="0">
      <alignment vertical="center"/>
    </xf>
    <xf numFmtId="0" fontId="3" fillId="0" borderId="0" xfId="0" applyFont="1" applyFill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shrinkToFit="1"/>
    </xf>
    <xf numFmtId="0" fontId="3" fillId="0" borderId="0" xfId="0" applyFont="1" applyAlignment="1">
      <alignment horizontal="right" vertical="center" shrinkToFit="1"/>
    </xf>
    <xf numFmtId="0" fontId="3" fillId="0" borderId="0" xfId="0" applyFont="1" applyAlignment="1">
      <alignment vertical="center" shrinkToFit="1"/>
    </xf>
    <xf numFmtId="0" fontId="5" fillId="0" borderId="0" xfId="0" applyFont="1" applyAlignment="1">
      <alignment horizontal="center" vertical="center" shrinkToFit="1"/>
    </xf>
    <xf numFmtId="0" fontId="5" fillId="0" borderId="0" xfId="0" applyFont="1" applyAlignment="1">
      <alignment vertical="center" shrinkToFit="1"/>
    </xf>
    <xf numFmtId="0" fontId="5" fillId="0" borderId="0" xfId="0" applyFont="1">
      <alignment vertical="center"/>
    </xf>
    <xf numFmtId="0" fontId="3" fillId="0" borderId="0" xfId="0" applyFont="1">
      <alignment vertical="center"/>
    </xf>
    <xf numFmtId="0" fontId="6" fillId="0" borderId="0" xfId="0" applyFont="1">
      <alignment vertical="center"/>
    </xf>
    <xf numFmtId="41" fontId="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shrinkToFit="1"/>
    </xf>
    <xf numFmtId="0" fontId="10" fillId="0" borderId="0" xfId="0" applyFont="1" applyFill="1">
      <alignment vertical="center"/>
    </xf>
    <xf numFmtId="0" fontId="12" fillId="0" borderId="0" xfId="0" applyFont="1">
      <alignment vertical="center"/>
    </xf>
    <xf numFmtId="41" fontId="3" fillId="0" borderId="0" xfId="1" applyFont="1" applyAlignment="1">
      <alignment vertical="center" shrinkToFit="1"/>
    </xf>
    <xf numFmtId="41" fontId="8" fillId="0" borderId="7" xfId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shrinkToFit="1"/>
    </xf>
    <xf numFmtId="0" fontId="8" fillId="0" borderId="4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 shrinkToFit="1"/>
    </xf>
    <xf numFmtId="0" fontId="8" fillId="0" borderId="1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 shrinkToFit="1"/>
    </xf>
    <xf numFmtId="0" fontId="8" fillId="7" borderId="9" xfId="0" applyFont="1" applyFill="1" applyBorder="1" applyAlignment="1">
      <alignment horizontal="center" vertical="center"/>
    </xf>
    <xf numFmtId="0" fontId="8" fillId="7" borderId="10" xfId="0" applyFont="1" applyFill="1" applyBorder="1" applyAlignment="1">
      <alignment horizontal="center" vertical="center"/>
    </xf>
    <xf numFmtId="0" fontId="8" fillId="7" borderId="11" xfId="0" applyFont="1" applyFill="1" applyBorder="1" applyAlignment="1">
      <alignment horizontal="center" vertical="center"/>
    </xf>
    <xf numFmtId="0" fontId="15" fillId="0" borderId="0" xfId="0" applyFont="1" applyFill="1">
      <alignment vertical="center"/>
    </xf>
    <xf numFmtId="0" fontId="4" fillId="9" borderId="0" xfId="0" applyFont="1" applyFill="1">
      <alignment vertical="center"/>
    </xf>
    <xf numFmtId="0" fontId="15" fillId="9" borderId="0" xfId="0" applyFont="1" applyFill="1">
      <alignment vertical="center"/>
    </xf>
    <xf numFmtId="0" fontId="3" fillId="9" borderId="0" xfId="0" applyFont="1" applyFill="1">
      <alignment vertical="center"/>
    </xf>
    <xf numFmtId="0" fontId="14" fillId="8" borderId="1" xfId="0" applyFont="1" applyFill="1" applyBorder="1" applyAlignment="1">
      <alignment horizontal="center" vertical="center"/>
    </xf>
    <xf numFmtId="0" fontId="14" fillId="8" borderId="1" xfId="0" applyFont="1" applyFill="1" applyBorder="1">
      <alignment vertical="center"/>
    </xf>
    <xf numFmtId="41" fontId="14" fillId="8" borderId="1" xfId="0" applyNumberFormat="1" applyFont="1" applyFill="1" applyBorder="1" applyAlignment="1">
      <alignment horizontal="center" vertical="center" shrinkToFit="1"/>
    </xf>
    <xf numFmtId="0" fontId="17" fillId="8" borderId="3" xfId="0" applyFont="1" applyFill="1" applyBorder="1" applyAlignment="1">
      <alignment horizontal="center" vertical="center" shrinkToFit="1"/>
    </xf>
    <xf numFmtId="0" fontId="17" fillId="8" borderId="3" xfId="0" applyFont="1" applyFill="1" applyBorder="1" applyAlignment="1">
      <alignment vertical="center" shrinkToFit="1"/>
    </xf>
    <xf numFmtId="0" fontId="17" fillId="8" borderId="22" xfId="0" applyFont="1" applyFill="1" applyBorder="1" applyAlignment="1">
      <alignment horizontal="center" vertical="center" shrinkToFit="1"/>
    </xf>
    <xf numFmtId="31" fontId="16" fillId="6" borderId="2" xfId="0" applyNumberFormat="1" applyFont="1" applyFill="1" applyBorder="1" applyAlignment="1">
      <alignment horizontal="center" vertical="center"/>
    </xf>
    <xf numFmtId="0" fontId="14" fillId="4" borderId="5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/>
    </xf>
    <xf numFmtId="0" fontId="14" fillId="0" borderId="3" xfId="0" applyFont="1" applyBorder="1" applyAlignment="1">
      <alignment horizontal="center" vertical="center" shrinkToFit="1"/>
    </xf>
    <xf numFmtId="0" fontId="17" fillId="4" borderId="6" xfId="0" applyFont="1" applyFill="1" applyBorder="1" applyAlignment="1">
      <alignment horizontal="center" vertical="center" shrinkToFit="1"/>
    </xf>
    <xf numFmtId="41" fontId="17" fillId="4" borderId="7" xfId="0" applyNumberFormat="1" applyFont="1" applyFill="1" applyBorder="1" applyAlignment="1">
      <alignment horizontal="center" vertical="center"/>
    </xf>
    <xf numFmtId="41" fontId="14" fillId="4" borderId="7" xfId="1" applyFont="1" applyFill="1" applyBorder="1" applyAlignment="1">
      <alignment horizontal="center" vertical="center" shrinkToFit="1"/>
    </xf>
    <xf numFmtId="41" fontId="17" fillId="4" borderId="7" xfId="1" applyFont="1" applyFill="1" applyBorder="1" applyAlignment="1">
      <alignment horizontal="center" vertical="center" shrinkToFit="1"/>
    </xf>
    <xf numFmtId="0" fontId="14" fillId="0" borderId="23" xfId="0" applyFont="1" applyBorder="1" applyAlignment="1">
      <alignment horizontal="center" vertical="center" shrinkToFit="1"/>
    </xf>
    <xf numFmtId="0" fontId="3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 shrinkToFit="1"/>
    </xf>
    <xf numFmtId="0" fontId="3" fillId="2" borderId="19" xfId="0" applyFont="1" applyFill="1" applyBorder="1" applyAlignment="1">
      <alignment horizontal="center" vertical="center" shrinkToFit="1"/>
    </xf>
    <xf numFmtId="0" fontId="3" fillId="3" borderId="20" xfId="0" applyFont="1" applyFill="1" applyBorder="1" applyAlignment="1">
      <alignment horizontal="center" vertical="center" shrinkToFit="1"/>
    </xf>
    <xf numFmtId="0" fontId="3" fillId="3" borderId="4" xfId="0" applyFont="1" applyFill="1" applyBorder="1" applyAlignment="1">
      <alignment horizontal="center" vertical="center" shrinkToFit="1"/>
    </xf>
    <xf numFmtId="0" fontId="3" fillId="3" borderId="19" xfId="0" applyFont="1" applyFill="1" applyBorder="1" applyAlignment="1">
      <alignment horizontal="center" vertical="center" shrinkToFit="1"/>
    </xf>
    <xf numFmtId="0" fontId="8" fillId="8" borderId="1" xfId="0" applyFont="1" applyFill="1" applyBorder="1" applyAlignment="1">
      <alignment horizontal="center" vertical="center"/>
    </xf>
    <xf numFmtId="41" fontId="14" fillId="8" borderId="1" xfId="1" applyFont="1" applyFill="1" applyBorder="1" applyAlignment="1">
      <alignment horizontal="center" vertical="center"/>
    </xf>
    <xf numFmtId="41" fontId="8" fillId="8" borderId="1" xfId="1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41" fontId="8" fillId="8" borderId="4" xfId="1" applyFont="1" applyFill="1" applyBorder="1" applyAlignment="1">
      <alignment horizontal="center" vertical="center"/>
    </xf>
    <xf numFmtId="0" fontId="14" fillId="8" borderId="3" xfId="0" applyFont="1" applyFill="1" applyBorder="1" applyAlignment="1">
      <alignment vertical="center" shrinkToFit="1"/>
    </xf>
    <xf numFmtId="31" fontId="14" fillId="8" borderId="2" xfId="0" applyNumberFormat="1" applyFont="1" applyFill="1" applyBorder="1">
      <alignment vertical="center"/>
    </xf>
    <xf numFmtId="0" fontId="14" fillId="8" borderId="18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14" fillId="10" borderId="1" xfId="0" applyFont="1" applyFill="1" applyBorder="1">
      <alignment vertical="center"/>
    </xf>
    <xf numFmtId="41" fontId="14" fillId="10" borderId="1" xfId="0" applyNumberFormat="1" applyFont="1" applyFill="1" applyBorder="1" applyAlignment="1">
      <alignment horizontal="center" vertical="center" shrinkToFit="1"/>
    </xf>
    <xf numFmtId="31" fontId="19" fillId="10" borderId="2" xfId="0" applyNumberFormat="1" applyFont="1" applyFill="1" applyBorder="1">
      <alignment vertical="center"/>
    </xf>
    <xf numFmtId="0" fontId="19" fillId="10" borderId="18" xfId="0" applyFont="1" applyFill="1" applyBorder="1" applyAlignment="1">
      <alignment horizontal="center" vertical="center"/>
    </xf>
    <xf numFmtId="31" fontId="18" fillId="10" borderId="2" xfId="0" applyNumberFormat="1" applyFont="1" applyFill="1" applyBorder="1">
      <alignment vertical="center"/>
    </xf>
    <xf numFmtId="0" fontId="18" fillId="10" borderId="18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 wrapText="1" shrinkToFit="1"/>
    </xf>
    <xf numFmtId="0" fontId="3" fillId="3" borderId="9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3" borderId="9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 shrinkToFit="1"/>
    </xf>
    <xf numFmtId="0" fontId="3" fillId="3" borderId="11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1" xfId="0" applyFont="1" applyFill="1" applyBorder="1" applyAlignment="1">
      <alignment horizontal="center" vertical="center" shrinkToFit="1"/>
    </xf>
  </cellXfs>
  <cellStyles count="3">
    <cellStyle name="쉼표 [0] 2" xfId="1" xr:uid="{00000000-0005-0000-0000-000000000000}"/>
    <cellStyle name="콤마 [0]_관리항목_업종별 " xfId="2" xr:uid="{00000000-0005-0000-0000-000001000000}"/>
    <cellStyle name="표준" xfId="0" builtinId="0"/>
  </cellStyles>
  <dxfs count="0"/>
  <tableStyles count="0" defaultTableStyle="TableStyleMedium9" defaultPivotStyle="PivotStyleLight16"/>
  <colors>
    <mruColors>
      <color rgb="FF0033CC"/>
      <color rgb="FFFFFF99"/>
      <color rgb="FFCCFFCC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39</xdr:row>
      <xdr:rowOff>19050</xdr:rowOff>
    </xdr:from>
    <xdr:to>
      <xdr:col>3</xdr:col>
      <xdr:colOff>76200</xdr:colOff>
      <xdr:row>40</xdr:row>
      <xdr:rowOff>57150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3324225" y="8201025"/>
          <a:ext cx="762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4"/>
  <sheetViews>
    <sheetView workbookViewId="0">
      <selection activeCell="C22" sqref="C22:C23"/>
    </sheetView>
  </sheetViews>
  <sheetFormatPr defaultRowHeight="16.5" x14ac:dyDescent="0.3"/>
  <cols>
    <col min="1" max="1" width="8" style="14" customWidth="1"/>
    <col min="2" max="2" width="13.25" style="14" customWidth="1"/>
    <col min="3" max="3" width="23.25" style="14" bestFit="1" customWidth="1"/>
    <col min="4" max="5" width="11.375" style="14" bestFit="1" customWidth="1"/>
    <col min="6" max="6" width="15.75" style="14" customWidth="1"/>
    <col min="7" max="7" width="14.125" style="14" customWidth="1"/>
    <col min="8" max="8" width="13.875" style="14" customWidth="1"/>
    <col min="9" max="9" width="11.875" style="14" bestFit="1" customWidth="1"/>
    <col min="10" max="16384" width="9" style="14"/>
  </cols>
  <sheetData>
    <row r="1" spans="1:7" ht="31.5" x14ac:dyDescent="0.3">
      <c r="A1" s="73" t="s">
        <v>62</v>
      </c>
      <c r="B1" s="73"/>
      <c r="C1" s="73"/>
      <c r="D1" s="73"/>
      <c r="E1" s="73"/>
      <c r="F1" s="73"/>
      <c r="G1" s="73"/>
    </row>
    <row r="2" spans="1:7" s="15" customFormat="1" ht="21" thickBot="1" x14ac:dyDescent="0.35">
      <c r="G2" s="15" t="s">
        <v>16</v>
      </c>
    </row>
    <row r="3" spans="1:7" s="15" customFormat="1" ht="20.25" x14ac:dyDescent="0.3">
      <c r="A3" s="28" t="s">
        <v>17</v>
      </c>
      <c r="B3" s="29" t="s">
        <v>18</v>
      </c>
      <c r="C3" s="29" t="s">
        <v>12</v>
      </c>
      <c r="D3" s="29" t="s">
        <v>19</v>
      </c>
      <c r="E3" s="29" t="s">
        <v>20</v>
      </c>
      <c r="F3" s="29" t="s">
        <v>21</v>
      </c>
      <c r="G3" s="30" t="s">
        <v>13</v>
      </c>
    </row>
    <row r="4" spans="1:7" s="15" customFormat="1" ht="20.25" x14ac:dyDescent="0.3">
      <c r="A4" s="16">
        <v>1</v>
      </c>
      <c r="B4" s="17" t="s">
        <v>22</v>
      </c>
      <c r="C4" s="58" t="s">
        <v>56</v>
      </c>
      <c r="D4" s="59">
        <f>급식일정!C36</f>
        <v>14</v>
      </c>
      <c r="E4" s="60">
        <v>6850</v>
      </c>
      <c r="F4" s="60">
        <f>PRODUCT(D4:E4)</f>
        <v>95900</v>
      </c>
      <c r="G4" s="18"/>
    </row>
    <row r="5" spans="1:7" s="15" customFormat="1" ht="20.25" x14ac:dyDescent="0.3">
      <c r="A5" s="16">
        <v>2</v>
      </c>
      <c r="B5" s="17" t="s">
        <v>33</v>
      </c>
      <c r="C5" s="58" t="s">
        <v>47</v>
      </c>
      <c r="D5" s="60">
        <f>급식일정!D36</f>
        <v>17</v>
      </c>
      <c r="E5" s="60">
        <v>6850</v>
      </c>
      <c r="F5" s="60">
        <f t="shared" ref="F5" si="0">PRODUCT(D5:E5)</f>
        <v>116450</v>
      </c>
      <c r="G5" s="18"/>
    </row>
    <row r="6" spans="1:7" s="15" customFormat="1" ht="20.25" x14ac:dyDescent="0.3">
      <c r="A6" s="16">
        <v>3</v>
      </c>
      <c r="B6" s="26" t="s">
        <v>23</v>
      </c>
      <c r="C6" s="58" t="s">
        <v>32</v>
      </c>
      <c r="D6" s="60">
        <f>급식일정!E36</f>
        <v>18</v>
      </c>
      <c r="E6" s="60">
        <v>6850</v>
      </c>
      <c r="F6" s="60">
        <f t="shared" ref="F6:F8" si="1">PRODUCT(D6:E6)</f>
        <v>123300</v>
      </c>
      <c r="G6" s="27"/>
    </row>
    <row r="7" spans="1:7" s="15" customFormat="1" ht="20.25" x14ac:dyDescent="0.3">
      <c r="A7" s="16">
        <v>4</v>
      </c>
      <c r="B7" s="17" t="s">
        <v>14</v>
      </c>
      <c r="C7" s="58" t="s">
        <v>50</v>
      </c>
      <c r="D7" s="60">
        <f>급식일정!F36</f>
        <v>18</v>
      </c>
      <c r="E7" s="60">
        <v>6850</v>
      </c>
      <c r="F7" s="60">
        <f t="shared" si="1"/>
        <v>123300</v>
      </c>
      <c r="G7" s="18"/>
    </row>
    <row r="8" spans="1:7" s="15" customFormat="1" ht="20.25" x14ac:dyDescent="0.3">
      <c r="A8" s="16">
        <v>5</v>
      </c>
      <c r="B8" s="17" t="s">
        <v>33</v>
      </c>
      <c r="C8" s="58" t="s">
        <v>38</v>
      </c>
      <c r="D8" s="60">
        <f>급식일정!G36</f>
        <v>17</v>
      </c>
      <c r="E8" s="60">
        <v>6850</v>
      </c>
      <c r="F8" s="60">
        <f t="shared" si="1"/>
        <v>116450</v>
      </c>
      <c r="G8" s="18"/>
    </row>
    <row r="9" spans="1:7" s="15" customFormat="1" ht="20.25" x14ac:dyDescent="0.3">
      <c r="A9" s="16">
        <v>6</v>
      </c>
      <c r="B9" s="17" t="s">
        <v>33</v>
      </c>
      <c r="C9" s="58" t="s">
        <v>39</v>
      </c>
      <c r="D9" s="60">
        <f>급식일정!H36</f>
        <v>13</v>
      </c>
      <c r="E9" s="60">
        <v>6850</v>
      </c>
      <c r="F9" s="60">
        <f>PRODUCT(D9:E9)</f>
        <v>89050</v>
      </c>
      <c r="G9" s="18" t="s">
        <v>54</v>
      </c>
    </row>
    <row r="10" spans="1:7" s="15" customFormat="1" ht="20.25" x14ac:dyDescent="0.3">
      <c r="A10" s="16">
        <v>7</v>
      </c>
      <c r="B10" s="24" t="s">
        <v>33</v>
      </c>
      <c r="C10" s="61" t="s">
        <v>41</v>
      </c>
      <c r="D10" s="62">
        <f>급식일정!I36</f>
        <v>17</v>
      </c>
      <c r="E10" s="60">
        <v>6850</v>
      </c>
      <c r="F10" s="60">
        <f>PRODUCT(D10:E10)</f>
        <v>116450</v>
      </c>
      <c r="G10" s="18"/>
    </row>
    <row r="11" spans="1:7" s="15" customFormat="1" ht="20.25" x14ac:dyDescent="0.3">
      <c r="A11" s="16">
        <v>8</v>
      </c>
      <c r="B11" s="24" t="s">
        <v>63</v>
      </c>
      <c r="C11" s="61" t="s">
        <v>64</v>
      </c>
      <c r="D11" s="62">
        <f>급식일정!J36</f>
        <v>20</v>
      </c>
      <c r="E11" s="60">
        <v>6850</v>
      </c>
      <c r="F11" s="60">
        <f>PRODUCT(D11:E11)</f>
        <v>137000</v>
      </c>
      <c r="G11" s="18"/>
    </row>
    <row r="12" spans="1:7" s="15" customFormat="1" ht="20.25" x14ac:dyDescent="0.3">
      <c r="A12" s="16">
        <v>9</v>
      </c>
      <c r="B12" s="17" t="s">
        <v>34</v>
      </c>
      <c r="C12" s="58" t="s">
        <v>46</v>
      </c>
      <c r="D12" s="60">
        <f>급식일정!K36</f>
        <v>17</v>
      </c>
      <c r="E12" s="60">
        <v>6850</v>
      </c>
      <c r="F12" s="60">
        <f>PRODUCT(D12:E12)</f>
        <v>116450</v>
      </c>
      <c r="G12" s="18"/>
    </row>
    <row r="13" spans="1:7" s="15" customFormat="1" ht="20.25" x14ac:dyDescent="0.3">
      <c r="A13" s="16">
        <v>10</v>
      </c>
      <c r="B13" s="17" t="s">
        <v>26</v>
      </c>
      <c r="C13" s="58" t="s">
        <v>27</v>
      </c>
      <c r="D13" s="60">
        <f>급식일정!L36</f>
        <v>20</v>
      </c>
      <c r="E13" s="60">
        <v>6850</v>
      </c>
      <c r="F13" s="60">
        <f>PRODUCT(D13:E13)</f>
        <v>137000</v>
      </c>
      <c r="G13" s="18"/>
    </row>
    <row r="14" spans="1:7" s="15" customFormat="1" ht="20.25" x14ac:dyDescent="0.3">
      <c r="A14" s="16">
        <v>11</v>
      </c>
      <c r="B14" s="24" t="s">
        <v>40</v>
      </c>
      <c r="C14" s="61" t="s">
        <v>51</v>
      </c>
      <c r="D14" s="62">
        <f>급식일정!M36</f>
        <v>20</v>
      </c>
      <c r="E14" s="60">
        <v>6850</v>
      </c>
      <c r="F14" s="60">
        <f t="shared" ref="F14:F17" si="2">PRODUCT(D14:E14)</f>
        <v>137000</v>
      </c>
      <c r="G14" s="25"/>
    </row>
    <row r="15" spans="1:7" s="15" customFormat="1" ht="20.25" hidden="1" x14ac:dyDescent="0.3">
      <c r="A15" s="16">
        <v>12</v>
      </c>
      <c r="B15" s="24" t="s">
        <v>42</v>
      </c>
      <c r="C15" s="61" t="s">
        <v>49</v>
      </c>
      <c r="D15" s="62">
        <f>급식일정!N36</f>
        <v>0</v>
      </c>
      <c r="E15" s="60">
        <v>6850</v>
      </c>
      <c r="F15" s="60">
        <f t="shared" si="2"/>
        <v>0</v>
      </c>
      <c r="G15" s="25" t="s">
        <v>53</v>
      </c>
    </row>
    <row r="16" spans="1:7" s="15" customFormat="1" ht="20.25" hidden="1" x14ac:dyDescent="0.3">
      <c r="A16" s="16">
        <v>13</v>
      </c>
      <c r="B16" s="24" t="s">
        <v>42</v>
      </c>
      <c r="C16" s="61" t="s">
        <v>48</v>
      </c>
      <c r="D16" s="62">
        <f>급식일정!O36</f>
        <v>0</v>
      </c>
      <c r="E16" s="60">
        <v>6850</v>
      </c>
      <c r="F16" s="60">
        <f t="shared" si="2"/>
        <v>0</v>
      </c>
      <c r="G16" s="25" t="s">
        <v>52</v>
      </c>
    </row>
    <row r="17" spans="1:7" s="15" customFormat="1" ht="20.25" x14ac:dyDescent="0.3">
      <c r="A17" s="16">
        <v>14</v>
      </c>
      <c r="B17" s="24" t="s">
        <v>43</v>
      </c>
      <c r="C17" s="61" t="s">
        <v>44</v>
      </c>
      <c r="D17" s="62">
        <f>급식일정!P36</f>
        <v>4</v>
      </c>
      <c r="E17" s="60">
        <v>6850</v>
      </c>
      <c r="F17" s="60">
        <f t="shared" si="2"/>
        <v>27400</v>
      </c>
      <c r="G17" s="25" t="s">
        <v>45</v>
      </c>
    </row>
    <row r="18" spans="1:7" s="15" customFormat="1" ht="21" thickBot="1" x14ac:dyDescent="0.35">
      <c r="A18" s="74" t="s">
        <v>15</v>
      </c>
      <c r="B18" s="75"/>
      <c r="C18" s="75"/>
      <c r="D18" s="22">
        <f>SUM(D4:D17)</f>
        <v>195</v>
      </c>
      <c r="E18" s="22"/>
      <c r="F18" s="22">
        <f>SUM(F4:F17)</f>
        <v>1335750</v>
      </c>
      <c r="G18" s="23"/>
    </row>
    <row r="19" spans="1:7" s="15" customFormat="1" ht="20.25" x14ac:dyDescent="0.3">
      <c r="A19" s="14"/>
      <c r="B19" s="14"/>
      <c r="C19" s="14"/>
      <c r="D19" s="14"/>
      <c r="E19" s="14"/>
      <c r="F19" s="14"/>
      <c r="G19" s="14"/>
    </row>
    <row r="24" spans="1:7" x14ac:dyDescent="0.3">
      <c r="E24" s="14" t="s">
        <v>78</v>
      </c>
    </row>
  </sheetData>
  <mergeCells count="2">
    <mergeCell ref="A1:G1"/>
    <mergeCell ref="A18:C18"/>
  </mergeCells>
  <phoneticPr fontId="13" type="noConversion"/>
  <pageMargins left="0.7" right="0.7" top="0.75" bottom="0.75" header="0.3" footer="0.3"/>
  <pageSetup paperSize="9" scale="8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G38"/>
  <sheetViews>
    <sheetView tabSelected="1" zoomScale="85" zoomScaleNormal="85" workbookViewId="0">
      <selection activeCell="J17" sqref="J17"/>
    </sheetView>
  </sheetViews>
  <sheetFormatPr defaultRowHeight="16.5" x14ac:dyDescent="0.3"/>
  <cols>
    <col min="1" max="1" width="21.75" style="10" customWidth="1"/>
    <col min="2" max="2" width="10" style="4" bestFit="1" customWidth="1"/>
    <col min="3" max="11" width="10.625" style="4" customWidth="1"/>
    <col min="12" max="12" width="13.375" style="4" customWidth="1"/>
    <col min="13" max="13" width="16.25" style="4" customWidth="1"/>
    <col min="14" max="15" width="10.625" style="4" hidden="1" customWidth="1"/>
    <col min="16" max="16" width="13.625" style="4" customWidth="1"/>
    <col min="17" max="17" width="11.375" style="4" customWidth="1"/>
    <col min="18" max="18" width="9.375" style="8" customWidth="1"/>
    <col min="19" max="19" width="7.125" style="8" customWidth="1"/>
    <col min="20" max="20" width="7.375" style="8" customWidth="1"/>
    <col min="21" max="21" width="10.75" style="9" customWidth="1"/>
    <col min="22" max="23" width="14" style="9" customWidth="1"/>
    <col min="24" max="24" width="22.875" style="9" customWidth="1"/>
    <col min="25" max="16384" width="9" style="10"/>
  </cols>
  <sheetData>
    <row r="1" spans="1:33" ht="38.25" customHeight="1" x14ac:dyDescent="0.3">
      <c r="A1" s="76" t="s">
        <v>61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</row>
    <row r="2" spans="1:33" s="11" customFormat="1" ht="18" thickBot="1" x14ac:dyDescent="0.35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5"/>
      <c r="S2" s="5"/>
      <c r="T2" s="5"/>
      <c r="U2" s="3" t="s">
        <v>1</v>
      </c>
      <c r="V2" s="21">
        <v>6850</v>
      </c>
      <c r="W2" s="7"/>
      <c r="X2" s="6" t="s">
        <v>0</v>
      </c>
    </row>
    <row r="3" spans="1:33" s="11" customFormat="1" ht="17.25" x14ac:dyDescent="0.3">
      <c r="A3" s="77" t="s">
        <v>10</v>
      </c>
      <c r="B3" s="79" t="s">
        <v>24</v>
      </c>
      <c r="C3" s="81" t="s">
        <v>2</v>
      </c>
      <c r="D3" s="82"/>
      <c r="E3" s="82"/>
      <c r="F3" s="82"/>
      <c r="G3" s="82"/>
      <c r="H3" s="82"/>
      <c r="I3" s="82"/>
      <c r="J3" s="83"/>
      <c r="K3" s="83"/>
      <c r="L3" s="83"/>
      <c r="M3" s="83"/>
      <c r="N3" s="83"/>
      <c r="O3" s="83"/>
      <c r="P3" s="82"/>
      <c r="Q3" s="84" t="s">
        <v>3</v>
      </c>
      <c r="R3" s="86" t="s">
        <v>4</v>
      </c>
      <c r="S3" s="86"/>
      <c r="T3" s="87"/>
      <c r="U3" s="88" t="s">
        <v>5</v>
      </c>
      <c r="V3" s="89"/>
      <c r="W3" s="90"/>
      <c r="X3" s="91" t="s">
        <v>6</v>
      </c>
    </row>
    <row r="4" spans="1:33" s="12" customFormat="1" ht="17.25" x14ac:dyDescent="0.3">
      <c r="A4" s="78"/>
      <c r="B4" s="80"/>
      <c r="C4" s="50" t="s">
        <v>66</v>
      </c>
      <c r="D4" s="50" t="s">
        <v>67</v>
      </c>
      <c r="E4" s="50" t="s">
        <v>68</v>
      </c>
      <c r="F4" s="50" t="s">
        <v>69</v>
      </c>
      <c r="G4" s="50" t="s">
        <v>70</v>
      </c>
      <c r="H4" s="51" t="s">
        <v>71</v>
      </c>
      <c r="I4" s="51" t="s">
        <v>72</v>
      </c>
      <c r="J4" s="51" t="s">
        <v>73</v>
      </c>
      <c r="K4" s="50" t="s">
        <v>74</v>
      </c>
      <c r="L4" s="51" t="s">
        <v>75</v>
      </c>
      <c r="M4" s="52" t="s">
        <v>76</v>
      </c>
      <c r="N4" s="52"/>
      <c r="O4" s="52"/>
      <c r="P4" s="52" t="s">
        <v>77</v>
      </c>
      <c r="Q4" s="85"/>
      <c r="R4" s="53" t="s">
        <v>8</v>
      </c>
      <c r="S4" s="53" t="s">
        <v>9</v>
      </c>
      <c r="T4" s="54" t="s">
        <v>25</v>
      </c>
      <c r="U4" s="55" t="s">
        <v>8</v>
      </c>
      <c r="V4" s="56" t="s">
        <v>9</v>
      </c>
      <c r="W4" s="57" t="s">
        <v>7</v>
      </c>
      <c r="X4" s="92"/>
      <c r="Y4" s="11"/>
      <c r="Z4" s="11"/>
      <c r="AA4" s="11"/>
      <c r="AB4" s="11"/>
      <c r="AC4" s="11"/>
      <c r="AD4" s="11"/>
      <c r="AE4" s="11"/>
      <c r="AF4" s="11"/>
      <c r="AG4" s="11"/>
    </row>
    <row r="5" spans="1:33" s="32" customFormat="1" ht="20.25" x14ac:dyDescent="0.3">
      <c r="A5" s="64">
        <v>46296</v>
      </c>
      <c r="B5" s="65" t="s">
        <v>55</v>
      </c>
      <c r="C5" s="35"/>
      <c r="D5" s="35">
        <v>1</v>
      </c>
      <c r="E5" s="35">
        <v>1</v>
      </c>
      <c r="F5" s="35">
        <v>1</v>
      </c>
      <c r="G5" s="35">
        <v>1</v>
      </c>
      <c r="H5" s="35"/>
      <c r="I5" s="35">
        <v>1</v>
      </c>
      <c r="J5" s="35">
        <v>1</v>
      </c>
      <c r="K5" s="35">
        <v>1</v>
      </c>
      <c r="L5" s="35">
        <v>1</v>
      </c>
      <c r="M5" s="35">
        <v>1</v>
      </c>
      <c r="N5" s="35"/>
      <c r="O5" s="35"/>
      <c r="P5" s="35"/>
      <c r="Q5" s="36">
        <f t="shared" ref="Q5" si="0">SUM(C5:P5)</f>
        <v>9</v>
      </c>
      <c r="R5" s="37">
        <v>9</v>
      </c>
      <c r="S5" s="36">
        <f t="shared" ref="S5" si="1">Q5</f>
        <v>9</v>
      </c>
      <c r="T5" s="37">
        <f t="shared" ref="T5" si="2">SUM(R5:S5)</f>
        <v>18</v>
      </c>
      <c r="U5" s="37"/>
      <c r="V5" s="37">
        <f t="shared" ref="V5" si="3">S5*$V$2</f>
        <v>61650</v>
      </c>
      <c r="W5" s="37">
        <f t="shared" ref="W5" si="4">SUM(U5:V5)</f>
        <v>61650</v>
      </c>
      <c r="X5" s="38"/>
      <c r="Y5" s="11"/>
      <c r="Z5" s="11"/>
      <c r="AA5" s="11"/>
      <c r="AB5" s="11"/>
      <c r="AC5" s="11"/>
      <c r="AD5" s="11"/>
      <c r="AE5" s="11"/>
      <c r="AF5" s="11"/>
      <c r="AG5" s="11"/>
    </row>
    <row r="6" spans="1:33" s="1" customFormat="1" ht="20.25" x14ac:dyDescent="0.3">
      <c r="A6" s="64">
        <v>46297</v>
      </c>
      <c r="B6" s="65" t="s">
        <v>57</v>
      </c>
      <c r="C6" s="35"/>
      <c r="D6" s="35">
        <v>1</v>
      </c>
      <c r="E6" s="35">
        <v>1</v>
      </c>
      <c r="F6" s="35">
        <v>1</v>
      </c>
      <c r="G6" s="35">
        <v>1</v>
      </c>
      <c r="H6" s="35">
        <v>1</v>
      </c>
      <c r="I6" s="35">
        <v>1</v>
      </c>
      <c r="J6" s="35">
        <v>1</v>
      </c>
      <c r="K6" s="35">
        <v>1</v>
      </c>
      <c r="L6" s="35">
        <v>1</v>
      </c>
      <c r="M6" s="35">
        <v>1</v>
      </c>
      <c r="N6" s="35"/>
      <c r="O6" s="35"/>
      <c r="P6" s="35">
        <v>1</v>
      </c>
      <c r="Q6" s="36">
        <f t="shared" ref="Q6:Q34" si="5">SUM(C6:P6)</f>
        <v>11</v>
      </c>
      <c r="R6" s="37">
        <v>9</v>
      </c>
      <c r="S6" s="36">
        <f t="shared" ref="S6:S34" si="6">Q6</f>
        <v>11</v>
      </c>
      <c r="T6" s="37">
        <f t="shared" ref="T6:T34" si="7">SUM(R6:S6)</f>
        <v>20</v>
      </c>
      <c r="U6" s="37"/>
      <c r="V6" s="37">
        <f t="shared" ref="V6:V34" si="8">S6*$V$2</f>
        <v>75350</v>
      </c>
      <c r="W6" s="37">
        <f t="shared" ref="W6:W35" si="9">SUM(U6:V6)</f>
        <v>75350</v>
      </c>
      <c r="X6" s="38"/>
      <c r="Y6" s="11"/>
      <c r="Z6" s="11"/>
      <c r="AA6" s="11"/>
      <c r="AB6" s="11"/>
      <c r="AC6" s="11"/>
      <c r="AD6" s="11"/>
      <c r="AE6" s="11"/>
      <c r="AF6" s="11"/>
      <c r="AG6" s="11"/>
    </row>
    <row r="7" spans="1:33" s="33" customFormat="1" ht="20.25" x14ac:dyDescent="0.3">
      <c r="A7" s="71">
        <v>46298</v>
      </c>
      <c r="B7" s="72" t="s">
        <v>58</v>
      </c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7"/>
      <c r="R7" s="68"/>
      <c r="S7" s="67"/>
      <c r="T7" s="68"/>
      <c r="U7" s="68"/>
      <c r="V7" s="68">
        <f t="shared" si="8"/>
        <v>0</v>
      </c>
      <c r="W7" s="68">
        <f t="shared" si="9"/>
        <v>0</v>
      </c>
      <c r="X7" s="38"/>
      <c r="Y7" s="11"/>
      <c r="Z7" s="11"/>
      <c r="AA7" s="11"/>
      <c r="AB7" s="11"/>
      <c r="AC7" s="11"/>
      <c r="AD7" s="11"/>
      <c r="AE7" s="11"/>
      <c r="AF7" s="11"/>
      <c r="AG7" s="11"/>
    </row>
    <row r="8" spans="1:33" s="1" customFormat="1" ht="20.25" x14ac:dyDescent="0.3">
      <c r="A8" s="69">
        <v>46299</v>
      </c>
      <c r="B8" s="70" t="s">
        <v>36</v>
      </c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7"/>
      <c r="R8" s="68"/>
      <c r="S8" s="67"/>
      <c r="T8" s="68"/>
      <c r="U8" s="68"/>
      <c r="V8" s="68">
        <f t="shared" si="8"/>
        <v>0</v>
      </c>
      <c r="W8" s="68">
        <f t="shared" si="9"/>
        <v>0</v>
      </c>
      <c r="X8" s="38"/>
      <c r="Y8" s="11"/>
      <c r="Z8" s="11"/>
      <c r="AA8" s="11"/>
      <c r="AB8" s="11"/>
      <c r="AC8" s="11"/>
      <c r="AD8" s="11"/>
      <c r="AE8" s="11"/>
      <c r="AF8" s="11"/>
      <c r="AG8" s="11"/>
    </row>
    <row r="9" spans="1:33" s="19" customFormat="1" ht="20.25" x14ac:dyDescent="0.3">
      <c r="A9" s="69">
        <v>46300</v>
      </c>
      <c r="B9" s="70" t="s">
        <v>37</v>
      </c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7"/>
      <c r="R9" s="68"/>
      <c r="S9" s="67"/>
      <c r="T9" s="68"/>
      <c r="U9" s="68"/>
      <c r="V9" s="68">
        <f t="shared" si="8"/>
        <v>0</v>
      </c>
      <c r="W9" s="68">
        <f t="shared" si="9"/>
        <v>0</v>
      </c>
      <c r="X9" s="38" t="s">
        <v>59</v>
      </c>
      <c r="Y9" s="11"/>
      <c r="Z9" s="11"/>
      <c r="AA9" s="11"/>
      <c r="AB9" s="11"/>
      <c r="AC9" s="11"/>
      <c r="AD9" s="11"/>
      <c r="AE9" s="11"/>
      <c r="AF9" s="11"/>
      <c r="AG9" s="11"/>
    </row>
    <row r="10" spans="1:33" s="34" customFormat="1" ht="20.25" x14ac:dyDescent="0.3">
      <c r="A10" s="64">
        <v>46301</v>
      </c>
      <c r="B10" s="65" t="s">
        <v>30</v>
      </c>
      <c r="C10" s="35"/>
      <c r="D10" s="35"/>
      <c r="E10" s="35"/>
      <c r="F10" s="35">
        <v>1</v>
      </c>
      <c r="G10" s="35">
        <v>1</v>
      </c>
      <c r="H10" s="35"/>
      <c r="I10" s="35"/>
      <c r="J10" s="35">
        <v>1</v>
      </c>
      <c r="K10" s="35">
        <v>1</v>
      </c>
      <c r="L10" s="35">
        <v>1</v>
      </c>
      <c r="M10" s="35">
        <v>1</v>
      </c>
      <c r="N10" s="35"/>
      <c r="O10" s="35"/>
      <c r="P10" s="35"/>
      <c r="Q10" s="36">
        <f t="shared" si="5"/>
        <v>6</v>
      </c>
      <c r="R10" s="37">
        <v>9</v>
      </c>
      <c r="S10" s="36">
        <f t="shared" si="6"/>
        <v>6</v>
      </c>
      <c r="T10" s="37">
        <f t="shared" si="7"/>
        <v>15</v>
      </c>
      <c r="U10" s="37"/>
      <c r="V10" s="37">
        <f t="shared" si="8"/>
        <v>41100</v>
      </c>
      <c r="W10" s="37">
        <f t="shared" si="9"/>
        <v>41100</v>
      </c>
      <c r="X10" s="38"/>
      <c r="Y10" s="11"/>
      <c r="Z10" s="11"/>
      <c r="AA10" s="11"/>
      <c r="AB10" s="11"/>
      <c r="AC10" s="11"/>
      <c r="AD10" s="11"/>
      <c r="AE10" s="11"/>
      <c r="AF10" s="11"/>
      <c r="AG10" s="11"/>
    </row>
    <row r="11" spans="1:33" s="34" customFormat="1" ht="20.25" x14ac:dyDescent="0.3">
      <c r="A11" s="64">
        <v>46302</v>
      </c>
      <c r="B11" s="65" t="s">
        <v>31</v>
      </c>
      <c r="C11" s="35"/>
      <c r="D11" s="35"/>
      <c r="E11" s="35">
        <v>1</v>
      </c>
      <c r="F11" s="35">
        <v>1</v>
      </c>
      <c r="G11" s="35"/>
      <c r="H11" s="35">
        <v>1</v>
      </c>
      <c r="I11" s="35"/>
      <c r="J11" s="35">
        <v>1</v>
      </c>
      <c r="K11" s="35"/>
      <c r="L11" s="35">
        <v>1</v>
      </c>
      <c r="M11" s="35">
        <v>1</v>
      </c>
      <c r="N11" s="35"/>
      <c r="O11" s="35"/>
      <c r="P11" s="35"/>
      <c r="Q11" s="36">
        <f t="shared" si="5"/>
        <v>6</v>
      </c>
      <c r="R11" s="37">
        <v>9</v>
      </c>
      <c r="S11" s="36">
        <f t="shared" si="6"/>
        <v>6</v>
      </c>
      <c r="T11" s="37">
        <f t="shared" si="7"/>
        <v>15</v>
      </c>
      <c r="U11" s="37"/>
      <c r="V11" s="37">
        <f t="shared" si="8"/>
        <v>41100</v>
      </c>
      <c r="W11" s="37">
        <f t="shared" si="9"/>
        <v>41100</v>
      </c>
      <c r="X11" s="38"/>
      <c r="Y11" s="11"/>
      <c r="Z11" s="11"/>
      <c r="AA11" s="11"/>
      <c r="AB11" s="11"/>
      <c r="AC11" s="11"/>
      <c r="AD11" s="11"/>
      <c r="AE11" s="11"/>
      <c r="AF11" s="11"/>
      <c r="AG11" s="11"/>
    </row>
    <row r="12" spans="1:33" s="34" customFormat="1" ht="20.25" x14ac:dyDescent="0.3">
      <c r="A12" s="64">
        <v>46303</v>
      </c>
      <c r="B12" s="65" t="s">
        <v>28</v>
      </c>
      <c r="C12" s="35"/>
      <c r="D12" s="35">
        <v>1</v>
      </c>
      <c r="E12" s="35">
        <v>1</v>
      </c>
      <c r="F12" s="35"/>
      <c r="G12" s="35"/>
      <c r="H12" s="35"/>
      <c r="I12" s="35">
        <v>1</v>
      </c>
      <c r="J12" s="35">
        <v>1</v>
      </c>
      <c r="K12" s="35">
        <v>1</v>
      </c>
      <c r="L12" s="35">
        <v>1</v>
      </c>
      <c r="M12" s="35">
        <v>1</v>
      </c>
      <c r="N12" s="35"/>
      <c r="O12" s="35"/>
      <c r="P12" s="35"/>
      <c r="Q12" s="36">
        <f t="shared" si="5"/>
        <v>7</v>
      </c>
      <c r="R12" s="37">
        <v>9</v>
      </c>
      <c r="S12" s="36">
        <f t="shared" si="6"/>
        <v>7</v>
      </c>
      <c r="T12" s="37">
        <f t="shared" si="7"/>
        <v>16</v>
      </c>
      <c r="U12" s="37"/>
      <c r="V12" s="37">
        <f t="shared" si="8"/>
        <v>47950</v>
      </c>
      <c r="W12" s="37">
        <f t="shared" si="9"/>
        <v>47950</v>
      </c>
      <c r="X12" s="38"/>
      <c r="Y12" s="11"/>
      <c r="Z12" s="11"/>
      <c r="AA12" s="11"/>
      <c r="AB12" s="11"/>
      <c r="AC12" s="11"/>
      <c r="AD12" s="11"/>
      <c r="AE12" s="11"/>
      <c r="AF12" s="11"/>
      <c r="AG12" s="11"/>
    </row>
    <row r="13" spans="1:33" s="1" customFormat="1" ht="20.25" x14ac:dyDescent="0.3">
      <c r="A13" s="69">
        <v>46304</v>
      </c>
      <c r="B13" s="70" t="s">
        <v>29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7"/>
      <c r="R13" s="68"/>
      <c r="S13" s="67"/>
      <c r="T13" s="68"/>
      <c r="U13" s="68"/>
      <c r="V13" s="68">
        <f t="shared" si="8"/>
        <v>0</v>
      </c>
      <c r="W13" s="68">
        <f t="shared" si="9"/>
        <v>0</v>
      </c>
      <c r="X13" s="38" t="s">
        <v>60</v>
      </c>
      <c r="Y13" s="11"/>
      <c r="Z13" s="11"/>
      <c r="AA13" s="11"/>
      <c r="AB13" s="11"/>
      <c r="AC13" s="11"/>
      <c r="AD13" s="11"/>
      <c r="AE13" s="11"/>
      <c r="AF13" s="11"/>
      <c r="AG13" s="11"/>
    </row>
    <row r="14" spans="1:33" s="31" customFormat="1" ht="20.25" x14ac:dyDescent="0.3">
      <c r="A14" s="71">
        <v>46305</v>
      </c>
      <c r="B14" s="72" t="s">
        <v>35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7"/>
      <c r="R14" s="68"/>
      <c r="S14" s="67"/>
      <c r="T14" s="68"/>
      <c r="U14" s="68"/>
      <c r="V14" s="68">
        <f t="shared" si="8"/>
        <v>0</v>
      </c>
      <c r="W14" s="68">
        <f t="shared" si="9"/>
        <v>0</v>
      </c>
      <c r="X14" s="38"/>
      <c r="Y14" s="11"/>
      <c r="Z14" s="11"/>
      <c r="AA14" s="11"/>
      <c r="AB14" s="11"/>
      <c r="AC14" s="11"/>
      <c r="AD14" s="11"/>
      <c r="AE14" s="11"/>
      <c r="AF14" s="11"/>
      <c r="AG14" s="11"/>
    </row>
    <row r="15" spans="1:33" s="1" customFormat="1" ht="20.25" x14ac:dyDescent="0.3">
      <c r="A15" s="69">
        <v>46306</v>
      </c>
      <c r="B15" s="70" t="s">
        <v>36</v>
      </c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7"/>
      <c r="R15" s="68"/>
      <c r="S15" s="67"/>
      <c r="T15" s="68"/>
      <c r="U15" s="68"/>
      <c r="V15" s="68">
        <f t="shared" si="8"/>
        <v>0</v>
      </c>
      <c r="W15" s="68">
        <f t="shared" si="9"/>
        <v>0</v>
      </c>
      <c r="X15" s="38"/>
      <c r="Y15" s="11"/>
      <c r="Z15" s="11"/>
      <c r="AA15" s="11"/>
      <c r="AB15" s="11"/>
      <c r="AC15" s="11"/>
      <c r="AD15" s="11"/>
      <c r="AE15" s="11"/>
      <c r="AF15" s="11"/>
      <c r="AG15" s="11"/>
    </row>
    <row r="16" spans="1:33" s="1" customFormat="1" ht="20.25" x14ac:dyDescent="0.3">
      <c r="A16" s="64">
        <v>46307</v>
      </c>
      <c r="B16" s="65" t="s">
        <v>37</v>
      </c>
      <c r="C16" s="35">
        <v>1</v>
      </c>
      <c r="D16" s="35">
        <v>1</v>
      </c>
      <c r="E16" s="35">
        <v>1</v>
      </c>
      <c r="F16" s="35">
        <v>1</v>
      </c>
      <c r="G16" s="35">
        <v>1</v>
      </c>
      <c r="H16" s="35">
        <v>1</v>
      </c>
      <c r="I16" s="35">
        <v>1</v>
      </c>
      <c r="J16" s="35">
        <v>1</v>
      </c>
      <c r="K16" s="35">
        <v>1</v>
      </c>
      <c r="L16" s="35">
        <v>1</v>
      </c>
      <c r="M16" s="35">
        <v>1</v>
      </c>
      <c r="N16" s="35"/>
      <c r="O16" s="35"/>
      <c r="P16" s="35"/>
      <c r="Q16" s="36">
        <f t="shared" si="5"/>
        <v>11</v>
      </c>
      <c r="R16" s="37">
        <v>9</v>
      </c>
      <c r="S16" s="36">
        <f t="shared" si="6"/>
        <v>11</v>
      </c>
      <c r="T16" s="37">
        <f t="shared" si="7"/>
        <v>20</v>
      </c>
      <c r="U16" s="37"/>
      <c r="V16" s="37">
        <f t="shared" si="8"/>
        <v>75350</v>
      </c>
      <c r="W16" s="37">
        <f t="shared" si="9"/>
        <v>75350</v>
      </c>
      <c r="X16" s="38"/>
      <c r="Y16" s="11"/>
      <c r="Z16" s="11"/>
      <c r="AA16" s="11"/>
      <c r="AB16" s="11"/>
      <c r="AC16" s="11"/>
      <c r="AD16" s="11"/>
      <c r="AE16" s="11"/>
      <c r="AF16" s="11"/>
      <c r="AG16" s="11"/>
    </row>
    <row r="17" spans="1:33" s="1" customFormat="1" ht="20.25" x14ac:dyDescent="0.3">
      <c r="A17" s="64">
        <v>46308</v>
      </c>
      <c r="B17" s="65" t="s">
        <v>30</v>
      </c>
      <c r="C17" s="35">
        <v>1</v>
      </c>
      <c r="D17" s="35">
        <v>1</v>
      </c>
      <c r="E17" s="35">
        <v>1</v>
      </c>
      <c r="F17" s="35">
        <v>1</v>
      </c>
      <c r="G17" s="35">
        <v>1</v>
      </c>
      <c r="H17" s="35">
        <v>1</v>
      </c>
      <c r="I17" s="35">
        <v>1</v>
      </c>
      <c r="J17" s="35">
        <v>1</v>
      </c>
      <c r="K17" s="35">
        <v>1</v>
      </c>
      <c r="L17" s="35">
        <v>1</v>
      </c>
      <c r="M17" s="35">
        <v>1</v>
      </c>
      <c r="N17" s="35"/>
      <c r="O17" s="35"/>
      <c r="P17" s="35"/>
      <c r="Q17" s="36">
        <f t="shared" si="5"/>
        <v>11</v>
      </c>
      <c r="R17" s="37">
        <v>9</v>
      </c>
      <c r="S17" s="36">
        <f t="shared" si="6"/>
        <v>11</v>
      </c>
      <c r="T17" s="37">
        <f t="shared" si="7"/>
        <v>20</v>
      </c>
      <c r="U17" s="37"/>
      <c r="V17" s="37">
        <f t="shared" si="8"/>
        <v>75350</v>
      </c>
      <c r="W17" s="37">
        <f t="shared" si="9"/>
        <v>75350</v>
      </c>
      <c r="X17" s="38"/>
      <c r="Y17" s="11"/>
      <c r="Z17" s="11"/>
      <c r="AA17" s="11"/>
      <c r="AB17" s="11"/>
      <c r="AC17" s="11"/>
      <c r="AD17" s="11"/>
      <c r="AE17" s="11"/>
      <c r="AF17" s="11"/>
      <c r="AG17" s="11"/>
    </row>
    <row r="18" spans="1:33" s="34" customFormat="1" ht="20.25" x14ac:dyDescent="0.3">
      <c r="A18" s="64">
        <v>46309</v>
      </c>
      <c r="B18" s="65" t="s">
        <v>31</v>
      </c>
      <c r="C18" s="35">
        <v>1</v>
      </c>
      <c r="D18" s="35">
        <v>1</v>
      </c>
      <c r="E18" s="35">
        <v>1</v>
      </c>
      <c r="F18" s="35">
        <v>1</v>
      </c>
      <c r="G18" s="35">
        <v>1</v>
      </c>
      <c r="H18" s="35">
        <v>1</v>
      </c>
      <c r="I18" s="35">
        <v>1</v>
      </c>
      <c r="J18" s="35">
        <v>1</v>
      </c>
      <c r="K18" s="35">
        <v>1</v>
      </c>
      <c r="L18" s="35">
        <v>1</v>
      </c>
      <c r="M18" s="35">
        <v>1</v>
      </c>
      <c r="N18" s="35"/>
      <c r="O18" s="35"/>
      <c r="P18" s="35"/>
      <c r="Q18" s="36">
        <f t="shared" si="5"/>
        <v>11</v>
      </c>
      <c r="R18" s="37">
        <v>9</v>
      </c>
      <c r="S18" s="36">
        <f t="shared" si="6"/>
        <v>11</v>
      </c>
      <c r="T18" s="37">
        <f t="shared" si="7"/>
        <v>20</v>
      </c>
      <c r="U18" s="37"/>
      <c r="V18" s="37">
        <f t="shared" si="8"/>
        <v>75350</v>
      </c>
      <c r="W18" s="37">
        <f t="shared" si="9"/>
        <v>75350</v>
      </c>
      <c r="X18" s="38"/>
      <c r="Y18" s="11"/>
      <c r="Z18" s="11"/>
      <c r="AA18" s="11"/>
      <c r="AB18" s="11"/>
      <c r="AC18" s="11"/>
      <c r="AD18" s="11"/>
      <c r="AE18" s="11"/>
      <c r="AF18" s="11"/>
      <c r="AG18" s="11"/>
    </row>
    <row r="19" spans="1:33" s="34" customFormat="1" ht="20.25" x14ac:dyDescent="0.3">
      <c r="A19" s="64">
        <v>46310</v>
      </c>
      <c r="B19" s="65" t="s">
        <v>28</v>
      </c>
      <c r="C19" s="35">
        <v>1</v>
      </c>
      <c r="D19" s="35">
        <v>1</v>
      </c>
      <c r="E19" s="35">
        <v>1</v>
      </c>
      <c r="F19" s="35">
        <v>1</v>
      </c>
      <c r="G19" s="35">
        <v>1</v>
      </c>
      <c r="H19" s="35"/>
      <c r="I19" s="35">
        <v>1</v>
      </c>
      <c r="J19" s="35">
        <v>1</v>
      </c>
      <c r="K19" s="35">
        <v>1</v>
      </c>
      <c r="L19" s="35">
        <v>1</v>
      </c>
      <c r="M19" s="35">
        <v>1</v>
      </c>
      <c r="N19" s="35"/>
      <c r="O19" s="35"/>
      <c r="P19" s="35"/>
      <c r="Q19" s="36">
        <f t="shared" si="5"/>
        <v>10</v>
      </c>
      <c r="R19" s="37">
        <v>9</v>
      </c>
      <c r="S19" s="36">
        <f t="shared" si="6"/>
        <v>10</v>
      </c>
      <c r="T19" s="37">
        <f t="shared" si="7"/>
        <v>19</v>
      </c>
      <c r="U19" s="37"/>
      <c r="V19" s="37">
        <f t="shared" si="8"/>
        <v>68500</v>
      </c>
      <c r="W19" s="37">
        <f t="shared" si="9"/>
        <v>68500</v>
      </c>
      <c r="X19" s="38"/>
      <c r="Y19" s="11"/>
      <c r="Z19" s="11"/>
      <c r="AA19" s="11"/>
      <c r="AB19" s="11"/>
      <c r="AC19" s="11"/>
      <c r="AD19" s="11"/>
      <c r="AE19" s="11"/>
      <c r="AF19" s="11"/>
      <c r="AG19" s="11"/>
    </row>
    <row r="20" spans="1:33" s="1" customFormat="1" ht="20.25" x14ac:dyDescent="0.3">
      <c r="A20" s="64">
        <v>46311</v>
      </c>
      <c r="B20" s="65" t="s">
        <v>29</v>
      </c>
      <c r="C20" s="35">
        <v>1</v>
      </c>
      <c r="D20" s="35">
        <v>1</v>
      </c>
      <c r="E20" s="35">
        <v>1</v>
      </c>
      <c r="F20" s="35">
        <v>1</v>
      </c>
      <c r="G20" s="35">
        <v>1</v>
      </c>
      <c r="H20" s="35">
        <v>1</v>
      </c>
      <c r="I20" s="35">
        <v>1</v>
      </c>
      <c r="J20" s="35">
        <v>1</v>
      </c>
      <c r="K20" s="35">
        <v>1</v>
      </c>
      <c r="L20" s="35">
        <v>1</v>
      </c>
      <c r="M20" s="35">
        <v>1</v>
      </c>
      <c r="N20" s="35"/>
      <c r="O20" s="35"/>
      <c r="P20" s="35">
        <v>1</v>
      </c>
      <c r="Q20" s="36">
        <f t="shared" si="5"/>
        <v>12</v>
      </c>
      <c r="R20" s="37">
        <v>9</v>
      </c>
      <c r="S20" s="36">
        <f t="shared" si="6"/>
        <v>12</v>
      </c>
      <c r="T20" s="37">
        <f t="shared" si="7"/>
        <v>21</v>
      </c>
      <c r="U20" s="37"/>
      <c r="V20" s="37">
        <f t="shared" si="8"/>
        <v>82200</v>
      </c>
      <c r="W20" s="37">
        <f t="shared" si="9"/>
        <v>82200</v>
      </c>
      <c r="X20" s="39"/>
      <c r="Y20" s="11"/>
      <c r="Z20" s="11"/>
      <c r="AA20" s="11"/>
      <c r="AB20" s="11"/>
      <c r="AC20" s="11"/>
      <c r="AD20" s="11"/>
      <c r="AE20" s="11"/>
      <c r="AF20" s="11"/>
      <c r="AG20" s="11"/>
    </row>
    <row r="21" spans="1:33" s="31" customFormat="1" ht="20.25" x14ac:dyDescent="0.3">
      <c r="A21" s="71">
        <v>46312</v>
      </c>
      <c r="B21" s="72" t="s">
        <v>35</v>
      </c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7"/>
      <c r="R21" s="68"/>
      <c r="S21" s="67"/>
      <c r="T21" s="68"/>
      <c r="U21" s="68"/>
      <c r="V21" s="68">
        <f t="shared" si="8"/>
        <v>0</v>
      </c>
      <c r="W21" s="68">
        <f t="shared" si="9"/>
        <v>0</v>
      </c>
      <c r="X21" s="63"/>
      <c r="Y21" s="11"/>
      <c r="Z21" s="11"/>
      <c r="AA21" s="11"/>
      <c r="AB21" s="11"/>
      <c r="AC21" s="11"/>
      <c r="AD21" s="11"/>
      <c r="AE21" s="11"/>
      <c r="AF21" s="11"/>
      <c r="AG21" s="11"/>
    </row>
    <row r="22" spans="1:33" s="1" customFormat="1" ht="20.25" x14ac:dyDescent="0.3">
      <c r="A22" s="69">
        <v>46313</v>
      </c>
      <c r="B22" s="70" t="s">
        <v>36</v>
      </c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7"/>
      <c r="R22" s="68"/>
      <c r="S22" s="67"/>
      <c r="T22" s="68"/>
      <c r="U22" s="68"/>
      <c r="V22" s="68">
        <f t="shared" si="8"/>
        <v>0</v>
      </c>
      <c r="W22" s="68">
        <f t="shared" si="9"/>
        <v>0</v>
      </c>
      <c r="X22" s="39"/>
      <c r="Y22" s="11"/>
      <c r="Z22" s="11"/>
      <c r="AA22" s="11"/>
      <c r="AB22" s="11"/>
      <c r="AC22" s="11"/>
      <c r="AD22" s="11"/>
      <c r="AE22" s="11"/>
      <c r="AF22" s="11"/>
      <c r="AG22" s="11"/>
    </row>
    <row r="23" spans="1:33" s="1" customFormat="1" ht="20.25" x14ac:dyDescent="0.3">
      <c r="A23" s="64">
        <v>46314</v>
      </c>
      <c r="B23" s="65" t="s">
        <v>37</v>
      </c>
      <c r="C23" s="35">
        <v>1</v>
      </c>
      <c r="D23" s="35">
        <v>1</v>
      </c>
      <c r="E23" s="35">
        <v>1</v>
      </c>
      <c r="F23" s="35">
        <v>1</v>
      </c>
      <c r="G23" s="35">
        <v>1</v>
      </c>
      <c r="H23" s="35">
        <v>1</v>
      </c>
      <c r="I23" s="35">
        <v>1</v>
      </c>
      <c r="J23" s="35">
        <v>1</v>
      </c>
      <c r="K23" s="35">
        <v>1</v>
      </c>
      <c r="L23" s="35">
        <v>1</v>
      </c>
      <c r="M23" s="35">
        <v>1</v>
      </c>
      <c r="N23" s="35"/>
      <c r="O23" s="35"/>
      <c r="P23" s="35"/>
      <c r="Q23" s="36">
        <f t="shared" si="5"/>
        <v>11</v>
      </c>
      <c r="R23" s="37">
        <v>9</v>
      </c>
      <c r="S23" s="36">
        <f t="shared" si="6"/>
        <v>11</v>
      </c>
      <c r="T23" s="37">
        <f t="shared" si="7"/>
        <v>20</v>
      </c>
      <c r="U23" s="37"/>
      <c r="V23" s="37">
        <f t="shared" si="8"/>
        <v>75350</v>
      </c>
      <c r="W23" s="37">
        <f t="shared" si="9"/>
        <v>75350</v>
      </c>
      <c r="X23" s="38"/>
      <c r="Y23" s="11"/>
      <c r="Z23" s="11"/>
      <c r="AA23" s="11"/>
      <c r="AB23" s="11"/>
      <c r="AC23" s="11"/>
      <c r="AD23" s="11"/>
      <c r="AE23" s="11"/>
      <c r="AF23" s="11"/>
      <c r="AG23" s="11"/>
    </row>
    <row r="24" spans="1:33" s="1" customFormat="1" ht="20.25" x14ac:dyDescent="0.3">
      <c r="A24" s="64">
        <v>46315</v>
      </c>
      <c r="B24" s="65" t="s">
        <v>30</v>
      </c>
      <c r="C24" s="35">
        <v>1</v>
      </c>
      <c r="D24" s="35">
        <v>1</v>
      </c>
      <c r="E24" s="35">
        <v>1</v>
      </c>
      <c r="F24" s="35">
        <v>1</v>
      </c>
      <c r="G24" s="35">
        <v>1</v>
      </c>
      <c r="H24" s="35">
        <v>1</v>
      </c>
      <c r="I24" s="35">
        <v>1</v>
      </c>
      <c r="J24" s="35">
        <v>1</v>
      </c>
      <c r="K24" s="35">
        <v>1</v>
      </c>
      <c r="L24" s="35">
        <v>1</v>
      </c>
      <c r="M24" s="35">
        <v>1</v>
      </c>
      <c r="N24" s="35"/>
      <c r="O24" s="35"/>
      <c r="P24" s="35"/>
      <c r="Q24" s="36">
        <f t="shared" si="5"/>
        <v>11</v>
      </c>
      <c r="R24" s="37">
        <v>9</v>
      </c>
      <c r="S24" s="36">
        <f t="shared" si="6"/>
        <v>11</v>
      </c>
      <c r="T24" s="37">
        <f t="shared" si="7"/>
        <v>20</v>
      </c>
      <c r="U24" s="37"/>
      <c r="V24" s="37">
        <f t="shared" si="8"/>
        <v>75350</v>
      </c>
      <c r="W24" s="37">
        <f t="shared" si="9"/>
        <v>75350</v>
      </c>
      <c r="X24" s="38"/>
      <c r="Y24" s="11"/>
      <c r="Z24" s="11"/>
      <c r="AA24" s="11"/>
      <c r="AB24" s="11"/>
      <c r="AC24" s="11"/>
      <c r="AD24" s="11"/>
      <c r="AE24" s="11"/>
      <c r="AF24" s="11"/>
      <c r="AG24" s="11"/>
    </row>
    <row r="25" spans="1:33" s="34" customFormat="1" ht="20.25" x14ac:dyDescent="0.3">
      <c r="A25" s="64">
        <v>46316</v>
      </c>
      <c r="B25" s="65" t="s">
        <v>31</v>
      </c>
      <c r="C25" s="35"/>
      <c r="D25" s="35"/>
      <c r="E25" s="35"/>
      <c r="F25" s="35"/>
      <c r="G25" s="35"/>
      <c r="H25" s="35"/>
      <c r="I25" s="35"/>
      <c r="J25" s="35">
        <v>1</v>
      </c>
      <c r="K25" s="35">
        <v>1</v>
      </c>
      <c r="L25" s="35">
        <v>1</v>
      </c>
      <c r="M25" s="35">
        <v>1</v>
      </c>
      <c r="N25" s="35"/>
      <c r="O25" s="35"/>
      <c r="P25" s="35"/>
      <c r="Q25" s="36">
        <f t="shared" si="5"/>
        <v>4</v>
      </c>
      <c r="R25" s="37"/>
      <c r="S25" s="36">
        <f t="shared" si="6"/>
        <v>4</v>
      </c>
      <c r="T25" s="37">
        <f t="shared" si="7"/>
        <v>4</v>
      </c>
      <c r="U25" s="37"/>
      <c r="V25" s="37">
        <f t="shared" si="8"/>
        <v>27400</v>
      </c>
      <c r="W25" s="37">
        <f t="shared" si="9"/>
        <v>27400</v>
      </c>
      <c r="X25" s="38" t="s">
        <v>65</v>
      </c>
      <c r="Y25" s="11"/>
      <c r="Z25" s="11"/>
      <c r="AA25" s="11"/>
      <c r="AB25" s="11"/>
      <c r="AC25" s="11"/>
      <c r="AD25" s="11"/>
      <c r="AE25" s="11"/>
      <c r="AF25" s="11"/>
      <c r="AG25" s="11"/>
    </row>
    <row r="26" spans="1:33" s="34" customFormat="1" ht="20.25" x14ac:dyDescent="0.3">
      <c r="A26" s="64">
        <v>46317</v>
      </c>
      <c r="B26" s="65" t="s">
        <v>28</v>
      </c>
      <c r="C26" s="35">
        <v>1</v>
      </c>
      <c r="D26" s="35">
        <v>1</v>
      </c>
      <c r="E26" s="35">
        <v>1</v>
      </c>
      <c r="F26" s="35">
        <v>1</v>
      </c>
      <c r="G26" s="35">
        <v>1</v>
      </c>
      <c r="H26" s="35"/>
      <c r="I26" s="35">
        <v>1</v>
      </c>
      <c r="J26" s="35">
        <v>1</v>
      </c>
      <c r="K26" s="35">
        <v>1</v>
      </c>
      <c r="L26" s="35">
        <v>1</v>
      </c>
      <c r="M26" s="35">
        <v>1</v>
      </c>
      <c r="N26" s="35"/>
      <c r="O26" s="35"/>
      <c r="P26" s="35"/>
      <c r="Q26" s="36">
        <f t="shared" si="5"/>
        <v>10</v>
      </c>
      <c r="R26" s="37">
        <v>9</v>
      </c>
      <c r="S26" s="36">
        <f t="shared" si="6"/>
        <v>10</v>
      </c>
      <c r="T26" s="37">
        <f t="shared" si="7"/>
        <v>19</v>
      </c>
      <c r="U26" s="37"/>
      <c r="V26" s="37">
        <f t="shared" si="8"/>
        <v>68500</v>
      </c>
      <c r="W26" s="37">
        <f t="shared" si="9"/>
        <v>68500</v>
      </c>
      <c r="X26" s="38"/>
      <c r="Y26" s="11"/>
      <c r="Z26" s="11"/>
      <c r="AA26" s="11"/>
      <c r="AB26" s="11"/>
      <c r="AC26" s="11"/>
      <c r="AD26" s="11"/>
      <c r="AE26" s="11"/>
      <c r="AF26" s="11"/>
      <c r="AG26" s="11"/>
    </row>
    <row r="27" spans="1:33" s="1" customFormat="1" ht="20.25" x14ac:dyDescent="0.3">
      <c r="A27" s="64">
        <v>46318</v>
      </c>
      <c r="B27" s="65" t="s">
        <v>29</v>
      </c>
      <c r="C27" s="35">
        <v>1</v>
      </c>
      <c r="D27" s="35">
        <v>1</v>
      </c>
      <c r="E27" s="35">
        <v>1</v>
      </c>
      <c r="F27" s="35">
        <v>1</v>
      </c>
      <c r="G27" s="35">
        <v>1</v>
      </c>
      <c r="H27" s="35">
        <v>1</v>
      </c>
      <c r="I27" s="35">
        <v>1</v>
      </c>
      <c r="J27" s="35">
        <v>1</v>
      </c>
      <c r="K27" s="35">
        <v>1</v>
      </c>
      <c r="L27" s="35">
        <v>1</v>
      </c>
      <c r="M27" s="35">
        <v>1</v>
      </c>
      <c r="N27" s="35"/>
      <c r="O27" s="35"/>
      <c r="P27" s="35">
        <v>1</v>
      </c>
      <c r="Q27" s="36">
        <f t="shared" si="5"/>
        <v>12</v>
      </c>
      <c r="R27" s="37">
        <v>9</v>
      </c>
      <c r="S27" s="36">
        <f t="shared" si="6"/>
        <v>12</v>
      </c>
      <c r="T27" s="37">
        <f t="shared" si="7"/>
        <v>21</v>
      </c>
      <c r="U27" s="37"/>
      <c r="V27" s="37">
        <f t="shared" si="8"/>
        <v>82200</v>
      </c>
      <c r="W27" s="37">
        <f t="shared" si="9"/>
        <v>82200</v>
      </c>
      <c r="X27" s="38"/>
      <c r="Y27" s="11"/>
      <c r="Z27" s="11"/>
      <c r="AA27" s="11"/>
      <c r="AB27" s="11"/>
      <c r="AC27" s="11"/>
      <c r="AD27" s="11"/>
      <c r="AE27" s="11"/>
      <c r="AF27" s="11"/>
      <c r="AG27" s="11"/>
    </row>
    <row r="28" spans="1:33" s="31" customFormat="1" ht="20.25" x14ac:dyDescent="0.3">
      <c r="A28" s="71">
        <v>46319</v>
      </c>
      <c r="B28" s="72" t="s">
        <v>35</v>
      </c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7"/>
      <c r="R28" s="68"/>
      <c r="S28" s="67"/>
      <c r="T28" s="68"/>
      <c r="U28" s="68"/>
      <c r="V28" s="68">
        <f t="shared" si="8"/>
        <v>0</v>
      </c>
      <c r="W28" s="68">
        <f t="shared" si="9"/>
        <v>0</v>
      </c>
      <c r="X28" s="38"/>
      <c r="Y28" s="11"/>
      <c r="Z28" s="11"/>
      <c r="AA28" s="11"/>
      <c r="AB28" s="11"/>
      <c r="AC28" s="11"/>
      <c r="AD28" s="11"/>
      <c r="AE28" s="11"/>
      <c r="AF28" s="11"/>
      <c r="AG28" s="11"/>
    </row>
    <row r="29" spans="1:33" s="1" customFormat="1" ht="20.25" x14ac:dyDescent="0.3">
      <c r="A29" s="69">
        <v>46320</v>
      </c>
      <c r="B29" s="70" t="s">
        <v>36</v>
      </c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7"/>
      <c r="R29" s="68"/>
      <c r="S29" s="67"/>
      <c r="T29" s="68"/>
      <c r="U29" s="68"/>
      <c r="V29" s="68">
        <f t="shared" si="8"/>
        <v>0</v>
      </c>
      <c r="W29" s="68">
        <f t="shared" si="9"/>
        <v>0</v>
      </c>
      <c r="X29" s="40"/>
      <c r="Y29" s="11"/>
      <c r="Z29" s="11"/>
      <c r="AA29" s="11"/>
      <c r="AB29" s="11"/>
      <c r="AC29" s="11"/>
      <c r="AD29" s="11"/>
      <c r="AE29" s="11"/>
      <c r="AF29" s="11"/>
      <c r="AG29" s="11"/>
    </row>
    <row r="30" spans="1:33" s="1" customFormat="1" ht="20.25" x14ac:dyDescent="0.3">
      <c r="A30" s="64">
        <v>46321</v>
      </c>
      <c r="B30" s="65" t="s">
        <v>37</v>
      </c>
      <c r="C30" s="35">
        <v>1</v>
      </c>
      <c r="D30" s="35">
        <v>1</v>
      </c>
      <c r="E30" s="35">
        <v>1</v>
      </c>
      <c r="F30" s="35">
        <v>1</v>
      </c>
      <c r="G30" s="35">
        <v>1</v>
      </c>
      <c r="H30" s="35">
        <v>1</v>
      </c>
      <c r="I30" s="35">
        <v>1</v>
      </c>
      <c r="J30" s="35">
        <v>1</v>
      </c>
      <c r="K30" s="35">
        <v>1</v>
      </c>
      <c r="L30" s="35">
        <v>1</v>
      </c>
      <c r="M30" s="35">
        <v>1</v>
      </c>
      <c r="N30" s="35"/>
      <c r="O30" s="35"/>
      <c r="P30" s="35"/>
      <c r="Q30" s="36">
        <f t="shared" si="5"/>
        <v>11</v>
      </c>
      <c r="R30" s="37">
        <v>9</v>
      </c>
      <c r="S30" s="36">
        <f t="shared" si="6"/>
        <v>11</v>
      </c>
      <c r="T30" s="37">
        <f t="shared" si="7"/>
        <v>20</v>
      </c>
      <c r="U30" s="37"/>
      <c r="V30" s="37">
        <f t="shared" si="8"/>
        <v>75350</v>
      </c>
      <c r="W30" s="37">
        <f t="shared" si="9"/>
        <v>75350</v>
      </c>
      <c r="X30" s="40"/>
      <c r="Y30" s="11"/>
      <c r="Z30" s="11"/>
      <c r="AA30" s="11"/>
      <c r="AB30" s="11"/>
      <c r="AC30" s="11"/>
      <c r="AD30" s="11"/>
      <c r="AE30" s="11"/>
      <c r="AF30" s="11"/>
      <c r="AG30" s="11"/>
    </row>
    <row r="31" spans="1:33" s="1" customFormat="1" ht="20.25" x14ac:dyDescent="0.3">
      <c r="A31" s="64">
        <v>46322</v>
      </c>
      <c r="B31" s="65" t="s">
        <v>30</v>
      </c>
      <c r="C31" s="35">
        <v>1</v>
      </c>
      <c r="D31" s="35">
        <v>1</v>
      </c>
      <c r="E31" s="35">
        <v>1</v>
      </c>
      <c r="F31" s="35">
        <v>1</v>
      </c>
      <c r="G31" s="35">
        <v>1</v>
      </c>
      <c r="H31" s="35">
        <v>1</v>
      </c>
      <c r="I31" s="35">
        <v>1</v>
      </c>
      <c r="J31" s="35">
        <v>1</v>
      </c>
      <c r="K31" s="35">
        <v>1</v>
      </c>
      <c r="L31" s="35">
        <v>1</v>
      </c>
      <c r="M31" s="35">
        <v>1</v>
      </c>
      <c r="N31" s="35"/>
      <c r="O31" s="35"/>
      <c r="P31" s="35"/>
      <c r="Q31" s="36">
        <f t="shared" si="5"/>
        <v>11</v>
      </c>
      <c r="R31" s="37">
        <v>9</v>
      </c>
      <c r="S31" s="36">
        <f t="shared" si="6"/>
        <v>11</v>
      </c>
      <c r="T31" s="37">
        <f t="shared" si="7"/>
        <v>20</v>
      </c>
      <c r="U31" s="37"/>
      <c r="V31" s="37">
        <f t="shared" si="8"/>
        <v>75350</v>
      </c>
      <c r="W31" s="37">
        <f t="shared" si="9"/>
        <v>75350</v>
      </c>
      <c r="X31" s="40"/>
      <c r="Y31" s="11"/>
      <c r="Z31" s="11"/>
      <c r="AA31" s="11"/>
      <c r="AB31" s="11"/>
      <c r="AC31" s="11"/>
      <c r="AD31" s="11"/>
      <c r="AE31" s="11"/>
      <c r="AF31" s="11"/>
      <c r="AG31" s="11"/>
    </row>
    <row r="32" spans="1:33" s="34" customFormat="1" ht="20.25" x14ac:dyDescent="0.3">
      <c r="A32" s="64">
        <v>46323</v>
      </c>
      <c r="B32" s="65" t="s">
        <v>31</v>
      </c>
      <c r="C32" s="35">
        <v>1</v>
      </c>
      <c r="D32" s="35">
        <v>1</v>
      </c>
      <c r="E32" s="35">
        <v>1</v>
      </c>
      <c r="F32" s="35">
        <v>1</v>
      </c>
      <c r="G32" s="35">
        <v>1</v>
      </c>
      <c r="H32" s="35">
        <v>1</v>
      </c>
      <c r="I32" s="35">
        <v>1</v>
      </c>
      <c r="J32" s="35">
        <v>1</v>
      </c>
      <c r="K32" s="35">
        <v>1</v>
      </c>
      <c r="L32" s="35">
        <v>1</v>
      </c>
      <c r="M32" s="35">
        <v>1</v>
      </c>
      <c r="N32" s="35"/>
      <c r="O32" s="35"/>
      <c r="P32" s="35"/>
      <c r="Q32" s="36">
        <f t="shared" si="5"/>
        <v>11</v>
      </c>
      <c r="R32" s="37">
        <v>9</v>
      </c>
      <c r="S32" s="36">
        <f t="shared" si="6"/>
        <v>11</v>
      </c>
      <c r="T32" s="37">
        <f t="shared" si="7"/>
        <v>20</v>
      </c>
      <c r="U32" s="37"/>
      <c r="V32" s="37">
        <f t="shared" si="8"/>
        <v>75350</v>
      </c>
      <c r="W32" s="37">
        <f t="shared" si="9"/>
        <v>75350</v>
      </c>
      <c r="X32" s="40"/>
      <c r="Y32" s="11"/>
      <c r="Z32" s="11"/>
      <c r="AA32" s="11"/>
      <c r="AB32" s="11"/>
      <c r="AC32" s="11"/>
      <c r="AD32" s="11"/>
      <c r="AE32" s="11"/>
      <c r="AF32" s="11"/>
      <c r="AG32" s="11"/>
    </row>
    <row r="33" spans="1:33" s="34" customFormat="1" ht="20.25" x14ac:dyDescent="0.3">
      <c r="A33" s="64">
        <v>46324</v>
      </c>
      <c r="B33" s="65" t="s">
        <v>28</v>
      </c>
      <c r="C33" s="35">
        <v>1</v>
      </c>
      <c r="D33" s="35">
        <v>1</v>
      </c>
      <c r="E33" s="35">
        <v>1</v>
      </c>
      <c r="F33" s="35">
        <v>1</v>
      </c>
      <c r="G33" s="35">
        <v>1</v>
      </c>
      <c r="H33" s="35"/>
      <c r="I33" s="35">
        <v>1</v>
      </c>
      <c r="J33" s="35">
        <v>1</v>
      </c>
      <c r="K33" s="35"/>
      <c r="L33" s="35">
        <v>1</v>
      </c>
      <c r="M33" s="35">
        <v>1</v>
      </c>
      <c r="N33" s="35"/>
      <c r="O33" s="35"/>
      <c r="P33" s="35"/>
      <c r="Q33" s="36">
        <f t="shared" si="5"/>
        <v>9</v>
      </c>
      <c r="R33" s="37">
        <v>9</v>
      </c>
      <c r="S33" s="36">
        <f t="shared" si="6"/>
        <v>9</v>
      </c>
      <c r="T33" s="37">
        <f t="shared" si="7"/>
        <v>18</v>
      </c>
      <c r="U33" s="37"/>
      <c r="V33" s="37">
        <f t="shared" si="8"/>
        <v>61650</v>
      </c>
      <c r="W33" s="37">
        <f t="shared" si="9"/>
        <v>61650</v>
      </c>
      <c r="X33" s="40"/>
      <c r="Y33" s="11"/>
      <c r="Z33" s="11"/>
      <c r="AA33" s="11"/>
      <c r="AB33" s="11"/>
      <c r="AC33" s="11"/>
      <c r="AD33" s="11"/>
      <c r="AE33" s="11"/>
      <c r="AF33" s="11"/>
      <c r="AG33" s="11"/>
    </row>
    <row r="34" spans="1:33" s="34" customFormat="1" ht="20.25" x14ac:dyDescent="0.3">
      <c r="A34" s="64">
        <v>46325</v>
      </c>
      <c r="B34" s="65" t="s">
        <v>29</v>
      </c>
      <c r="C34" s="35">
        <v>1</v>
      </c>
      <c r="D34" s="35">
        <v>1</v>
      </c>
      <c r="E34" s="35">
        <v>1</v>
      </c>
      <c r="F34" s="35">
        <v>1</v>
      </c>
      <c r="G34" s="35">
        <v>1</v>
      </c>
      <c r="H34" s="35">
        <v>1</v>
      </c>
      <c r="I34" s="35">
        <v>1</v>
      </c>
      <c r="J34" s="35">
        <v>1</v>
      </c>
      <c r="K34" s="35"/>
      <c r="L34" s="35">
        <v>1</v>
      </c>
      <c r="M34" s="35">
        <v>1</v>
      </c>
      <c r="N34" s="35"/>
      <c r="O34" s="35"/>
      <c r="P34" s="35">
        <v>1</v>
      </c>
      <c r="Q34" s="36">
        <f t="shared" si="5"/>
        <v>11</v>
      </c>
      <c r="R34" s="37">
        <v>9</v>
      </c>
      <c r="S34" s="36">
        <f t="shared" si="6"/>
        <v>11</v>
      </c>
      <c r="T34" s="37">
        <f t="shared" si="7"/>
        <v>20</v>
      </c>
      <c r="U34" s="37"/>
      <c r="V34" s="37">
        <f t="shared" si="8"/>
        <v>75350</v>
      </c>
      <c r="W34" s="37">
        <f t="shared" si="9"/>
        <v>75350</v>
      </c>
      <c r="X34" s="40"/>
      <c r="Y34" s="11"/>
      <c r="Z34" s="11"/>
      <c r="AA34" s="11"/>
      <c r="AB34" s="11"/>
      <c r="AC34" s="11"/>
      <c r="AD34" s="11"/>
      <c r="AE34" s="11"/>
      <c r="AF34" s="11"/>
      <c r="AG34" s="11"/>
    </row>
    <row r="35" spans="1:33" s="34" customFormat="1" ht="20.25" x14ac:dyDescent="0.3">
      <c r="A35" s="71">
        <v>46326</v>
      </c>
      <c r="B35" s="72" t="s">
        <v>35</v>
      </c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7"/>
      <c r="R35" s="68"/>
      <c r="S35" s="67"/>
      <c r="T35" s="68"/>
      <c r="U35" s="68"/>
      <c r="V35" s="68"/>
      <c r="W35" s="68">
        <f t="shared" si="9"/>
        <v>0</v>
      </c>
      <c r="X35" s="40"/>
      <c r="Y35" s="11"/>
      <c r="Z35" s="11"/>
      <c r="AA35" s="11"/>
      <c r="AB35" s="11"/>
      <c r="AC35" s="11"/>
      <c r="AD35" s="11"/>
      <c r="AE35" s="11"/>
      <c r="AF35" s="11"/>
      <c r="AG35" s="11"/>
    </row>
    <row r="36" spans="1:33" ht="20.25" x14ac:dyDescent="0.3">
      <c r="A36" s="41" t="s">
        <v>3</v>
      </c>
      <c r="B36" s="42"/>
      <c r="C36" s="42">
        <f t="shared" ref="C36:W36" si="10">SUM(C5:C35)</f>
        <v>14</v>
      </c>
      <c r="D36" s="42">
        <f t="shared" si="10"/>
        <v>17</v>
      </c>
      <c r="E36" s="42">
        <f t="shared" si="10"/>
        <v>18</v>
      </c>
      <c r="F36" s="42">
        <f t="shared" si="10"/>
        <v>18</v>
      </c>
      <c r="G36" s="42">
        <f t="shared" si="10"/>
        <v>17</v>
      </c>
      <c r="H36" s="42">
        <f t="shared" si="10"/>
        <v>13</v>
      </c>
      <c r="I36" s="42">
        <f t="shared" si="10"/>
        <v>17</v>
      </c>
      <c r="J36" s="42">
        <f t="shared" ref="J36" si="11">SUM(J5:J35)</f>
        <v>20</v>
      </c>
      <c r="K36" s="42">
        <f t="shared" si="10"/>
        <v>17</v>
      </c>
      <c r="L36" s="42">
        <f t="shared" si="10"/>
        <v>20</v>
      </c>
      <c r="M36" s="42">
        <f t="shared" si="10"/>
        <v>20</v>
      </c>
      <c r="N36" s="42">
        <f t="shared" si="10"/>
        <v>0</v>
      </c>
      <c r="O36" s="42">
        <f t="shared" si="10"/>
        <v>0</v>
      </c>
      <c r="P36" s="42">
        <f t="shared" si="10"/>
        <v>4</v>
      </c>
      <c r="Q36" s="42">
        <f t="shared" si="10"/>
        <v>195</v>
      </c>
      <c r="R36" s="42">
        <f t="shared" si="10"/>
        <v>171</v>
      </c>
      <c r="S36" s="42">
        <f t="shared" si="10"/>
        <v>195</v>
      </c>
      <c r="T36" s="43">
        <f t="shared" si="10"/>
        <v>366</v>
      </c>
      <c r="U36" s="43">
        <f t="shared" si="10"/>
        <v>0</v>
      </c>
      <c r="V36" s="43">
        <f t="shared" si="10"/>
        <v>1335750</v>
      </c>
      <c r="W36" s="43">
        <f t="shared" si="10"/>
        <v>1335750</v>
      </c>
      <c r="X36" s="44"/>
      <c r="Y36" s="11"/>
      <c r="Z36" s="11"/>
      <c r="AA36" s="11"/>
      <c r="AB36" s="11"/>
      <c r="AC36" s="11"/>
      <c r="AD36" s="11"/>
      <c r="AE36" s="11"/>
      <c r="AF36" s="11"/>
      <c r="AG36" s="11"/>
    </row>
    <row r="37" spans="1:33" ht="21" thickBot="1" x14ac:dyDescent="0.35">
      <c r="A37" s="45" t="s">
        <v>11</v>
      </c>
      <c r="B37" s="46">
        <v>6850</v>
      </c>
      <c r="C37" s="47">
        <f>(C36)*$B$37</f>
        <v>95900</v>
      </c>
      <c r="D37" s="47">
        <f t="shared" ref="D37:G37" si="12">(D36)*$B$37</f>
        <v>116450</v>
      </c>
      <c r="E37" s="47">
        <f t="shared" si="12"/>
        <v>123300</v>
      </c>
      <c r="F37" s="47">
        <f t="shared" si="12"/>
        <v>123300</v>
      </c>
      <c r="G37" s="47">
        <f t="shared" si="12"/>
        <v>116450</v>
      </c>
      <c r="H37" s="47">
        <f t="shared" ref="H37:P37" si="13">(H36)*$B$37</f>
        <v>89050</v>
      </c>
      <c r="I37" s="47">
        <f t="shared" si="13"/>
        <v>116450</v>
      </c>
      <c r="J37" s="47">
        <f t="shared" ref="J37" si="14">(J36)*$B$37</f>
        <v>137000</v>
      </c>
      <c r="K37" s="47">
        <f t="shared" si="13"/>
        <v>116450</v>
      </c>
      <c r="L37" s="47">
        <f t="shared" ref="L37" si="15">(L36)*$B$37</f>
        <v>137000</v>
      </c>
      <c r="M37" s="47">
        <f t="shared" si="13"/>
        <v>137000</v>
      </c>
      <c r="N37" s="47">
        <f>(N36)*$B$37</f>
        <v>0</v>
      </c>
      <c r="O37" s="47">
        <f>(O36)*$B$37</f>
        <v>0</v>
      </c>
      <c r="P37" s="47">
        <f t="shared" si="13"/>
        <v>27400</v>
      </c>
      <c r="Q37" s="48">
        <f>(Q36)*$B$37</f>
        <v>1335750</v>
      </c>
      <c r="R37" s="46">
        <f t="shared" ref="R37:T37" si="16">SUM(R36)</f>
        <v>171</v>
      </c>
      <c r="S37" s="46">
        <f t="shared" si="16"/>
        <v>195</v>
      </c>
      <c r="T37" s="46">
        <f t="shared" si="16"/>
        <v>366</v>
      </c>
      <c r="U37" s="46">
        <f t="shared" ref="U37:W37" si="17">SUM(U36)</f>
        <v>0</v>
      </c>
      <c r="V37" s="46">
        <f t="shared" si="17"/>
        <v>1335750</v>
      </c>
      <c r="W37" s="46">
        <f t="shared" si="17"/>
        <v>1335750</v>
      </c>
      <c r="X37" s="49"/>
      <c r="Y37" s="11"/>
      <c r="Z37" s="11"/>
      <c r="AA37" s="11"/>
      <c r="AB37" s="11"/>
      <c r="AC37" s="11"/>
      <c r="AD37" s="11"/>
      <c r="AE37" s="11"/>
      <c r="AF37" s="11"/>
      <c r="AG37" s="11"/>
    </row>
    <row r="38" spans="1:33" x14ac:dyDescent="0.3">
      <c r="A38" s="20"/>
      <c r="Q38" s="13"/>
    </row>
  </sheetData>
  <mergeCells count="8">
    <mergeCell ref="A1:X1"/>
    <mergeCell ref="A3:A4"/>
    <mergeCell ref="B3:B4"/>
    <mergeCell ref="C3:P3"/>
    <mergeCell ref="Q3:Q4"/>
    <mergeCell ref="R3:T3"/>
    <mergeCell ref="U3:W3"/>
    <mergeCell ref="X3:X4"/>
  </mergeCells>
  <phoneticPr fontId="2" type="noConversion"/>
  <pageMargins left="0.7" right="0.7" top="0.75" bottom="0.75" header="0.3" footer="0.3"/>
  <pageSetup paperSize="9" scale="4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개인별내역</vt:lpstr>
      <vt:lpstr>급식일정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최익창</cp:lastModifiedBy>
  <cp:lastPrinted>2024-04-15T01:42:11Z</cp:lastPrinted>
  <dcterms:created xsi:type="dcterms:W3CDTF">2009-03-10T02:17:24Z</dcterms:created>
  <dcterms:modified xsi:type="dcterms:W3CDTF">2026-09-16T08:33:03Z</dcterms:modified>
</cp:coreProperties>
</file>